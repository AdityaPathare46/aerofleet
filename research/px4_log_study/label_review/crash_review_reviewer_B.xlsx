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comments2.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view"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AeroFleet</author>
  </authors>
  <commentList>
    <comment ref="H1" authorId="0">
      <text>
        <r>
          <rPr>
            <sz val="10"/>
            <rFont val="Arial"/>
            <family val="2"/>
          </rPr>
          <t xml:space="preserve">Fixed checks from pilot_vs_drone.py. They fire on many normal flights too (see holdout.md); treat them as pointers, not answers.</t>
        </r>
      </text>
    </comment>
  </commentList>
</comments>
</file>

<file path=xl/sharedStrings.xml><?xml version="1.0" encoding="utf-8"?>
<sst xmlns="http://schemas.openxmlformats.org/spreadsheetml/2006/main" count="450" uniqueCount="159">
  <si>
    <t xml:space="preserve">PX4 crash label review</t>
  </si>
  <si>
    <t xml:space="preserve">Why: the benchmark uses the uploaders' own 'pilot' or 'drone' labels. This review measures how reliable those labels are. Work on your own; do not discuss cases with the other reviewer until both are done.</t>
  </si>
  <si>
    <t xml:space="preserve">What to do for each row on the 'Review' sheet:</t>
  </si>
  <si>
    <t xml:space="preserve">1. Click 'Open plots' to see the log on PX4 Flight Review (attitude, motors, battery, GPS, RC inputs, modes, messages).</t>
  </si>
  <si>
    <t xml:space="preserve">2. Read the facts in the row and the uploader's notes (written by the uploader; may be empty or wrong).</t>
  </si>
  <si>
    <t xml:space="preserve">3. Fill the yellow cells: Your verdict, Main cause, Confidence, and a short note on what decided it.</t>
  </si>
  <si>
    <t xml:space="preserve">Definitions:</t>
  </si>
  <si>
    <t xml:space="preserve">pilot = the crash would not have happened had the pilot acted correctly (inputs, mode choice, flying into something, ignoring a warning that gave enough time).</t>
  </si>
  <si>
    <t xml:space="preserve">drone = something in the aircraft or its software/configuration failed or behaved wrongly, and a reasonable pilot could not prevent it.</t>
  </si>
  <si>
    <t xml:space="preserve">can't tell = the log does not show enough to decide, or both contributed about equally.</t>
  </si>
  <si>
    <t xml:space="preserve">Rules: about 5 minutes per crash; spend no more than 10. Do not look up the log's rating on Flight Review before deciding. Do not open key_DO_NOT_OPEN.csv.</t>
  </si>
  <si>
    <t xml:space="preserve">Example of a filled row (not a real case):</t>
  </si>
  <si>
    <t xml:space="preserve">Your verdict</t>
  </si>
  <si>
    <t xml:space="preserve">drone</t>
  </si>
  <si>
    <t xml:space="preserve">Main cause</t>
  </si>
  <si>
    <t xml:space="preserve">motor / ESC / propeller</t>
  </si>
  <si>
    <t xml:space="preserve">Confidence</t>
  </si>
  <si>
    <t xml:space="preserve">medium</t>
  </si>
  <si>
    <t xml:space="preserve">Your note</t>
  </si>
  <si>
    <t xml:space="preserve">Motor 3 output at 100% from 41.2 s while the others drop; vehicle yaws then flips. Pilot inputs normal.</t>
  </si>
  <si>
    <t xml:space="preserve">Progress (rows with a verdict):</t>
  </si>
  <si>
    <t xml:space="preserve">#</t>
  </si>
  <si>
    <t xml:space="preserve">Log ID</t>
  </si>
  <si>
    <t xml:space="preserve">Open plots</t>
  </si>
  <si>
    <t xml:space="preserve">Vehicle</t>
  </si>
  <si>
    <t xml:space="preserve">Flight time to crash (s)</t>
  </si>
  <si>
    <t xml:space="preserve">Mode at crash</t>
  </si>
  <si>
    <t xml:space="preserve">Rotary wing</t>
  </si>
  <si>
    <t xml:space="preserve">Signs that fired (rule checks)</t>
  </si>
  <si>
    <t xml:space="preserve">Uploader notes</t>
  </si>
  <si>
    <t xml:space="preserve">e393f2c0-931a-409a-80f0-244c950556d0</t>
  </si>
  <si>
    <t xml:space="preserve">Tiltrotor VTOL</t>
  </si>
  <si>
    <t xml:space="preserve">STABILIZED</t>
  </si>
  <si>
    <t xml:space="preserve">yes</t>
  </si>
  <si>
    <t xml:space="preserve">motors at full output (last 10 s)</t>
  </si>
  <si>
    <t xml:space="preserve">VTOL Aircraft stalls during transition. | Static test. After 10+ crashes I removed props and updated some parms to observes what happens while the plane is on the table. verpin_2: 5/28/2021 vt_tilt_Trans: .3 to .5 problem: After tilt the rear motor is still running. causing yaw therefore the plane rolls over and crash. vt_tilt_Trans: .3 to .5 is the param during transition. I noticed that I have no throttle control during transion. tried stabilized mode, manual mode but nothing. until the rear motor stop looks like the plane is stuck in transition mode. Param: FW_ARSP_MODE = Airspeed Disable M</t>
  </si>
  <si>
    <t xml:space="preserve">1e2f84c1-5c20-4e36-882e-8430c2495a2b</t>
  </si>
  <si>
    <t xml:space="preserve">Quadrotor</t>
  </si>
  <si>
    <t xml:space="preserve">MANUAL</t>
  </si>
  <si>
    <t xml:space="preserve">none</t>
  </si>
  <si>
    <t xml:space="preserve">Short test flight (or sort of a hop) | Sorry, first liftoff so I'm still getting used to the controls. Manual mode and it started to drift so I landed (or crashed with no style)</t>
  </si>
  <si>
    <t xml:space="preserve">a65a5721-5bac-4d04-8642-576cc7fe7125</t>
  </si>
  <si>
    <t xml:space="preserve">Hexarotor</t>
  </si>
  <si>
    <t xml:space="preserve">POSCTL</t>
  </si>
  <si>
    <t xml:space="preserve">Hexacopter waypoint following | This test was just to test the waypoint execution on a hexacopter platform. Unfortunately, I don't have a video of the event, but the 3D representation matches closely to what I can remember happening. This is actually the second time this has happened to a similar vehicle that also resulted in a crash.</t>
  </si>
  <si>
    <t xml:space="preserve">4409c13e-e035-4f49-ae6a-5e0c1ad3af50</t>
  </si>
  <si>
    <t xml:space="preserve">VTOL Aircraft stalls during transition. | VTOL Aircraft stalls during transition. Hovers just fine. when I switch to aircraft mode it stalls out. PIXHAWK 4 with peto tube speed. Looks like the thrust drops off as soon as I switch to plane mode. using convergence airframe.</t>
  </si>
  <si>
    <t xml:space="preserve">3c25df8f-25e2-4b33-bcba-6a2b1efea2c3</t>
  </si>
  <si>
    <t xml:space="preserve">Crash</t>
  </si>
  <si>
    <t xml:space="preserve">b353130e-fe06-4a28-aa1c-e68583bbfa42</t>
  </si>
  <si>
    <t xml:space="preserve">ALTCTL</t>
  </si>
  <si>
    <t xml:space="preserve">accelerometer clipping; failure detector</t>
  </si>
  <si>
    <t xml:space="preserve">Drone Flips on Take off | I have confirmed, and the Tarot and FCU motors directions match up. Looking down, front left is CW (green), and front right is CCW (blue) Correct propellers on the correct motors First flight rolled and crashed to the right. This flight, it rolled to the right. Weird because it rolled the opposite way this time. Radiomaster TX16S Mark II Radio Controller (Mode 2) Holybro Pixhawk 6X with Standard Set, M8N GPS Helipal Tarot 7kg AUW (1.75kg/arm) Combo × 1 Helipal Tarot 650 Sport Quadcopter Build Kit × 1 Helipal Tarot 1555 High Strength Plastic Propellers Set (Foldable / </t>
  </si>
  <si>
    <t xml:space="preserve">367728df-12fb-45a2-87b3-1e3d1e8ea453</t>
  </si>
  <si>
    <t xml:space="preserve">battery warning / low</t>
  </si>
  <si>
    <t xml:space="preserve">QGroundControl Session | None Given</t>
  </si>
  <si>
    <t xml:space="preserve">70ed1cfb-45c0-4265-a4dd-2359e0ecb857</t>
  </si>
  <si>
    <t xml:space="preserve">Fixed Wing</t>
  </si>
  <si>
    <t xml:space="preserve">MISSION</t>
  </si>
  <si>
    <t xml:space="preserve">motors at full output (last 10 s); accelerometer clipping</t>
  </si>
  <si>
    <t xml:space="preserve">Autoland test 2 | Crash just after handstart</t>
  </si>
  <si>
    <t xml:space="preserve">4d299b1f-d02f-43a7-87b3-b3fabffa4138</t>
  </si>
  <si>
    <t xml:space="preserve">Octorotor</t>
  </si>
  <si>
    <t xml:space="preserve">3ce1620a-e157-4298-bb77-204ed390bc5a</t>
  </si>
  <si>
    <t xml:space="preserve">469472ca-7d81-499e-b68a-88cf9ec79ddf</t>
  </si>
  <si>
    <t xml:space="preserve">OFFBOARD</t>
  </si>
  <si>
    <t xml:space="preserve">eb8c2818-69f7-432c-ac39-a7dc90198a1f</t>
  </si>
  <si>
    <t xml:space="preserve">no</t>
  </si>
  <si>
    <t xml:space="preserve">e9746b8e-65b4-48dc-9a66-b29abb0b68e7</t>
  </si>
  <si>
    <t xml:space="preserve">accelerometer clipping</t>
  </si>
  <si>
    <t xml:space="preserve">b7431e69-e8d3-4004-9276-72af6eda8d30</t>
  </si>
  <si>
    <t xml:space="preserve">TAKEOFF</t>
  </si>
  <si>
    <t xml:space="preserve">30049cc7-ff72-4a22-916e-db73afa9dd27</t>
  </si>
  <si>
    <t xml:space="preserve">Quad-rotor VTOL (Tailsitter)</t>
  </si>
  <si>
    <t xml:space="preserve">CRASHED PILOT ERROR | SWAN K1 PRO</t>
  </si>
  <si>
    <t xml:space="preserve">0597c2d2-31df-44dc-96c4-aa745e532cf6</t>
  </si>
  <si>
    <t xml:space="preserve">battery warning / low; poor GPS in a GPS mode; autopilot error message; failsafe triggered</t>
  </si>
  <si>
    <t xml:space="preserve">indoor flying failure 1</t>
  </si>
  <si>
    <t xml:space="preserve">00e253e3-caa8-4395-96cf-97ec93641f44</t>
  </si>
  <si>
    <t xml:space="preserve">VUB Sahpa Testplane testflight 4 | Student learning to fly the Tundra V2, testing out the Stabilized (works shockingly fast). After getting a low batterywarning from the transmitter, the student tried to land but stalled on final turn and crashed</t>
  </si>
  <si>
    <t xml:space="preserve">f34ff8d5-252b-4727-86b9-5c173ed9dc3f</t>
  </si>
  <si>
    <t xml:space="preserve">Crash, fell out of air, trying to analyse error. | Hi Guys. I recently had a crash with my px4 and X500 frame. The drone suddenly fell out of the air (approx 5-7 m). It might be caused by myself, that I accidentally pulled the fail safe trigger on the RC controller. I want to investigate what happened by looking at the log file. See picture below when crash happened. I cant really find in the log file what the issue was. Can someone help me find the issue? I uploaded the log file as well.</t>
  </si>
  <si>
    <t xml:space="preserve">a2ca0e1b-cf05-4e3f-9fb4-2c5cdacba09d</t>
  </si>
  <si>
    <t xml:space="preserve">Trainer craft test</t>
  </si>
  <si>
    <t xml:space="preserve">6c2b24a9-fbe3-4e5d-baf8-8594d7667a13</t>
  </si>
  <si>
    <t xml:space="preserve">take off | Would not take off took off about 4 inches and then flip on its right side motor 4 would not spin correctly</t>
  </si>
  <si>
    <t xml:space="preserve">5c36dc8c-94ec-4afe-bf46-533b321f9cd3</t>
  </si>
  <si>
    <t xml:space="preserve">kk | wedwr</t>
  </si>
  <si>
    <t xml:space="preserve">b4d3ea46-21ca-489f-816c-bd605e6a50e0</t>
  </si>
  <si>
    <t xml:space="preserve">972814ae-9b30-4267-905d-cdfb2c3ec807</t>
  </si>
  <si>
    <t xml:space="preserve">trhis version is v.1.11.2 | The landing place is 20 meters from the set point</t>
  </si>
  <si>
    <t xml:space="preserve">ea10ac96-9097-4ea6-bffa-ce8543f08c3a</t>
  </si>
  <si>
    <t xml:space="preserve">067b943d-a593-4231-bb0c-35ac3d24efae</t>
  </si>
  <si>
    <t xml:space="preserve">LOITER</t>
  </si>
  <si>
    <t xml:space="preserve">Take off in stabilized mode, switch to hold mode - goes unstable and crashes</t>
  </si>
  <si>
    <t xml:space="preserve">28de39c3-83b7-469a-9111-03217373f9ba</t>
  </si>
  <si>
    <t xml:space="preserve">RTL</t>
  </si>
  <si>
    <t xml:space="preserve">accelerometer clipping; autopilot error message</t>
  </si>
  <si>
    <t xml:space="preserve">29-08-22-01</t>
  </si>
  <si>
    <t xml:space="preserve">ee4ff354-fbae-475e-aacb-af3ab13a26d1</t>
  </si>
  <si>
    <t xml:space="preserve">06834b93-1a62-456b-8a79-bf41eb2b6f15</t>
  </si>
  <si>
    <t xml:space="preserve">First flight | probably propeller lost</t>
  </si>
  <si>
    <t xml:space="preserve">3385261e-876c-4720-8b38-774a42f967bb</t>
  </si>
  <si>
    <t xml:space="preserve">47139a68-2f91-4697-99ea-33e579ff1787</t>
  </si>
  <si>
    <t xml:space="preserve">Motors suddenly shut down - Crashed Flight</t>
  </si>
  <si>
    <t xml:space="preserve">548414cc-cec0-4370-9eb0-bccb7e152f27</t>
  </si>
  <si>
    <t xml:space="preserve">Test 1 | It is conducted at Hinjawadi on 12 April on 2023</t>
  </si>
  <si>
    <t xml:space="preserve">6716ba36-f76e-4bce-9516-daa66caf1183</t>
  </si>
  <si>
    <t xml:space="preserve">poor GPS in a GPS mode; failsafe triggered</t>
  </si>
  <si>
    <t xml:space="preserve">c77a53f5-40ba-416d-8a33-60bdc0a021c1</t>
  </si>
  <si>
    <t xml:space="preserve">Test flight</t>
  </si>
  <si>
    <t xml:space="preserve">e76eb7ce-e39c-4dec-80b0-a7a399bb3b5b</t>
  </si>
  <si>
    <t xml:space="preserve">preflight motor test | When I hold the hexacopter down to test motors it will pules the motors by itself and not stop running them. The arm switch will not shut down the unit. you must pull the battery plug to shut down.</t>
  </si>
  <si>
    <t xml:space="preserve">14e1fff8-3407-4601-85de-5e80151c63d9</t>
  </si>
  <si>
    <t xml:space="preserve">98854ec4-9777-4e32-8d36-5df5864b5861</t>
  </si>
  <si>
    <t xml:space="preserve">64858e02-b9c2-4cc0-8ef4-1f2da98623f6</t>
  </si>
  <si>
    <t xml:space="preserve">aec2fbe9-f565-4cff-9bfe-85d01dbbedec</t>
  </si>
  <si>
    <t xml:space="preserve">ed868302-266e-4250-b664-9f1d7572b30f</t>
  </si>
  <si>
    <t xml:space="preserve">FW-Trainner-02</t>
  </si>
  <si>
    <t xml:space="preserve">7452dcf3-4bbc-4d97-9686-fa43c80a3a3b</t>
  </si>
  <si>
    <t xml:space="preserve">Small fixed-wing first flight</t>
  </si>
  <si>
    <t xml:space="preserve">cb1a1025-60ed-4f21-9709-0757a255795a</t>
  </si>
  <si>
    <t xml:space="preserve">VTOL Aircraft stalls during transition. | VTOL Aircraft stalls during transition. Hovers just fine. when I switch to aircraft mode it stalls out. PIXHAWK 4 with peto tube speed. Looks like the thrust drops off as soon as I switch to plane mode.</t>
  </si>
  <si>
    <t xml:space="preserve">e3b06542-fb81-4e26-86a2-eb0d11c3f344</t>
  </si>
  <si>
    <t xml:space="preserve">test</t>
  </si>
  <si>
    <t xml:space="preserve">ef5d183f-b402-4f59-9f45-d83aed560f08</t>
  </si>
  <si>
    <t xml:space="preserve">autopilot error message; failsafe triggered</t>
  </si>
  <si>
    <t xml:space="preserve">ros error setpoint | ROS gave an error setpoint.</t>
  </si>
  <si>
    <t xml:space="preserve">5b636ba6-e2e5-4995-b27a-45b103a3a749</t>
  </si>
  <si>
    <t xml:space="preserve">7916cdcf-86ba-418c-8ee5-e5e858d94904</t>
  </si>
  <si>
    <t xml:space="preserve">test preclanding mode | mmmmm...</t>
  </si>
  <si>
    <t xml:space="preserve">57882030-fc63-4bd9-a444-e9bf866c7370</t>
  </si>
  <si>
    <t xml:space="preserve">failsafe triggered</t>
  </si>
  <si>
    <t xml:space="preserve">0b2faba5-218d-43c4-88c2-157e24fd2c2f</t>
  </si>
  <si>
    <t xml:space="preserve">VTOL Standard</t>
  </si>
  <si>
    <t xml:space="preserve">RC field Nano Talon crash | Was testing various pusher assisted flight modes when all power was lost to MC motors and it fell from about 7 meters</t>
  </si>
  <si>
    <t xml:space="preserve">b66b08b1-97c4-442a-aedc-7fad7af6fb21</t>
  </si>
  <si>
    <t xml:space="preserve">371fa7cc-1edd-46b9-b4f9-b6b451d4a29e</t>
  </si>
  <si>
    <t xml:space="preserve">77de5523-4220-4772-972c-8edbf9fc8f69</t>
  </si>
  <si>
    <t xml:space="preserve">35fad7b1-5ff4-42aa-aecd-202a6379063d</t>
  </si>
  <si>
    <t xml:space="preserve">fa524739-91ce-4234-b16c-45c6b2d0709a</t>
  </si>
  <si>
    <t xml:space="preserve">battery warning / low; autopilot error message</t>
  </si>
  <si>
    <t xml:space="preserve">test position mode | crashed...</t>
  </si>
  <si>
    <t xml:space="preserve">d4374d67-dd03-4c6f-8fad-41309f212dd7</t>
  </si>
  <si>
    <t xml:space="preserve">LAND</t>
  </si>
  <si>
    <t xml:space="preserve">accelerometer clipping; failsafe triggered</t>
  </si>
  <si>
    <t xml:space="preserve">sudden arm after disarm | "commander land" while in offboard mode, after landing detected, suddenly the motor turned on.</t>
  </si>
  <si>
    <t xml:space="preserve">1c8aa12d-cfec-437c-8682-5b080095b2f6</t>
  </si>
  <si>
    <t xml:space="preserve">95f65bf0-7a61-475a-b13f-0104a9334771</t>
  </si>
  <si>
    <t xml:space="preserve">First Flight Test (Kakute F7 AIO)</t>
  </si>
  <si>
    <t xml:space="preserve">60eb610f-08e2-4d36-b036-349de37bde66</t>
  </si>
  <si>
    <t xml:space="preserve">autopilot error message</t>
  </si>
  <si>
    <t xml:space="preserve">1 test | SPB</t>
  </si>
  <si>
    <t xml:space="preserve">68822238-0240-4594-b2d2-ac842eb7a255</t>
  </si>
  <si>
    <t xml:space="preserve">[2/2] Not Working Offboard Control with MoCap (Vicon) Estimate</t>
  </si>
  <si>
    <t xml:space="preserve">feac8d13-3c0c-469e-b2b3-77f5f8e2808c</t>
  </si>
  <si>
    <t xml:space="preserve">5b7f1df3-48b2-4e7b-9394-b5eacaa79d10</t>
  </si>
  <si>
    <t xml:space="preserve">ddd2c183-3b57-4305-acb6-4d4264283287</t>
  </si>
  <si>
    <t xml:space="preserve">battery warning / low; motors at full output (last 10 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</si>
</sst>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u val="single"/>
      <sz val="10"/>
      <color rgb="FF0563C1"/>
      <name val="Arial"/>
      <family val="0"/>
      <charset val="1"/>
    </font>
    <font>
      <sz val="10"/>
      <name val="Arial"/>
      <family val="2"/>
    </font>
  </fonts>
  <fills count="4">
    <fill>
      <patternFill patternType="none"/>
    </fill>
    <fill>
      <patternFill patternType="gray125"/>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review.px4.io/plot_app?log=e393f2c0-931a-409a-80f0-244c950556d0" TargetMode="External"/><Relationship Id="rId3" Type="http://schemas.openxmlformats.org/officeDocument/2006/relationships/hyperlink" Target="https://review.px4.io/plot_app?log=1e2f84c1-5c20-4e36-882e-8430c2495a2b" TargetMode="External"/><Relationship Id="rId4" Type="http://schemas.openxmlformats.org/officeDocument/2006/relationships/hyperlink" Target="https://review.px4.io/plot_app?log=a65a5721-5bac-4d04-8642-576cc7fe7125" TargetMode="External"/><Relationship Id="rId5" Type="http://schemas.openxmlformats.org/officeDocument/2006/relationships/hyperlink" Target="https://review.px4.io/plot_app?log=4409c13e-e035-4f49-ae6a-5e0c1ad3af50" TargetMode="External"/><Relationship Id="rId6" Type="http://schemas.openxmlformats.org/officeDocument/2006/relationships/hyperlink" Target="https://review.px4.io/plot_app?log=3c25df8f-25e2-4b33-bcba-6a2b1efea2c3" TargetMode="External"/><Relationship Id="rId7" Type="http://schemas.openxmlformats.org/officeDocument/2006/relationships/hyperlink" Target="https://review.px4.io/plot_app?log=b353130e-fe06-4a28-aa1c-e68583bbfa42" TargetMode="External"/><Relationship Id="rId8" Type="http://schemas.openxmlformats.org/officeDocument/2006/relationships/hyperlink" Target="https://review.px4.io/plot_app?log=367728df-12fb-45a2-87b3-1e3d1e8ea453" TargetMode="External"/><Relationship Id="rId9" Type="http://schemas.openxmlformats.org/officeDocument/2006/relationships/hyperlink" Target="https://review.px4.io/plot_app?log=70ed1cfb-45c0-4265-a4dd-2359e0ecb857" TargetMode="External"/><Relationship Id="rId10" Type="http://schemas.openxmlformats.org/officeDocument/2006/relationships/hyperlink" Target="https://review.px4.io/plot_app?log=4d299b1f-d02f-43a7-87b3-b3fabffa4138" TargetMode="External"/><Relationship Id="rId11" Type="http://schemas.openxmlformats.org/officeDocument/2006/relationships/hyperlink" Target="https://review.px4.io/plot_app?log=3ce1620a-e157-4298-bb77-204ed390bc5a" TargetMode="External"/><Relationship Id="rId12" Type="http://schemas.openxmlformats.org/officeDocument/2006/relationships/hyperlink" Target="https://review.px4.io/plot_app?log=469472ca-7d81-499e-b68a-88cf9ec79ddf" TargetMode="External"/><Relationship Id="rId13" Type="http://schemas.openxmlformats.org/officeDocument/2006/relationships/hyperlink" Target="https://review.px4.io/plot_app?log=eb8c2818-69f7-432c-ac39-a7dc90198a1f" TargetMode="External"/><Relationship Id="rId14" Type="http://schemas.openxmlformats.org/officeDocument/2006/relationships/hyperlink" Target="https://review.px4.io/plot_app?log=e9746b8e-65b4-48dc-9a66-b29abb0b68e7" TargetMode="External"/><Relationship Id="rId15" Type="http://schemas.openxmlformats.org/officeDocument/2006/relationships/hyperlink" Target="https://review.px4.io/plot_app?log=b7431e69-e8d3-4004-9276-72af6eda8d30" TargetMode="External"/><Relationship Id="rId16" Type="http://schemas.openxmlformats.org/officeDocument/2006/relationships/hyperlink" Target="https://review.px4.io/plot_app?log=30049cc7-ff72-4a22-916e-db73afa9dd27" TargetMode="External"/><Relationship Id="rId17" Type="http://schemas.openxmlformats.org/officeDocument/2006/relationships/hyperlink" Target="https://review.px4.io/plot_app?log=0597c2d2-31df-44dc-96c4-aa745e532cf6" TargetMode="External"/><Relationship Id="rId18" Type="http://schemas.openxmlformats.org/officeDocument/2006/relationships/hyperlink" Target="https://review.px4.io/plot_app?log=00e253e3-caa8-4395-96cf-97ec93641f44" TargetMode="External"/><Relationship Id="rId19" Type="http://schemas.openxmlformats.org/officeDocument/2006/relationships/hyperlink" Target="https://review.px4.io/plot_app?log=f34ff8d5-252b-4727-86b9-5c173ed9dc3f" TargetMode="External"/><Relationship Id="rId20" Type="http://schemas.openxmlformats.org/officeDocument/2006/relationships/hyperlink" Target="https://review.px4.io/plot_app?log=a2ca0e1b-cf05-4e3f-9fb4-2c5cdacba09d" TargetMode="External"/><Relationship Id="rId21" Type="http://schemas.openxmlformats.org/officeDocument/2006/relationships/hyperlink" Target="https://review.px4.io/plot_app?log=6c2b24a9-fbe3-4e5d-baf8-8594d7667a13" TargetMode="External"/><Relationship Id="rId22" Type="http://schemas.openxmlformats.org/officeDocument/2006/relationships/hyperlink" Target="https://review.px4.io/plot_app?log=5c36dc8c-94ec-4afe-bf46-533b321f9cd3" TargetMode="External"/><Relationship Id="rId23" Type="http://schemas.openxmlformats.org/officeDocument/2006/relationships/hyperlink" Target="https://review.px4.io/plot_app?log=b4d3ea46-21ca-489f-816c-bd605e6a50e0" TargetMode="External"/><Relationship Id="rId24" Type="http://schemas.openxmlformats.org/officeDocument/2006/relationships/hyperlink" Target="https://review.px4.io/plot_app?log=972814ae-9b30-4267-905d-cdfb2c3ec807" TargetMode="External"/><Relationship Id="rId25" Type="http://schemas.openxmlformats.org/officeDocument/2006/relationships/hyperlink" Target="https://review.px4.io/plot_app?log=ea10ac96-9097-4ea6-bffa-ce8543f08c3a" TargetMode="External"/><Relationship Id="rId26" Type="http://schemas.openxmlformats.org/officeDocument/2006/relationships/hyperlink" Target="https://review.px4.io/plot_app?log=067b943d-a593-4231-bb0c-35ac3d24efae" TargetMode="External"/><Relationship Id="rId27" Type="http://schemas.openxmlformats.org/officeDocument/2006/relationships/hyperlink" Target="https://review.px4.io/plot_app?log=28de39c3-83b7-469a-9111-03217373f9ba" TargetMode="External"/><Relationship Id="rId28" Type="http://schemas.openxmlformats.org/officeDocument/2006/relationships/hyperlink" Target="https://review.px4.io/plot_app?log=ee4ff354-fbae-475e-aacb-af3ab13a26d1" TargetMode="External"/><Relationship Id="rId29" Type="http://schemas.openxmlformats.org/officeDocument/2006/relationships/hyperlink" Target="https://review.px4.io/plot_app?log=06834b93-1a62-456b-8a79-bf41eb2b6f15" TargetMode="External"/><Relationship Id="rId30" Type="http://schemas.openxmlformats.org/officeDocument/2006/relationships/hyperlink" Target="https://review.px4.io/plot_app?log=3385261e-876c-4720-8b38-774a42f967bb" TargetMode="External"/><Relationship Id="rId31" Type="http://schemas.openxmlformats.org/officeDocument/2006/relationships/hyperlink" Target="https://review.px4.io/plot_app?log=47139a68-2f91-4697-99ea-33e579ff1787" TargetMode="External"/><Relationship Id="rId32" Type="http://schemas.openxmlformats.org/officeDocument/2006/relationships/hyperlink" Target="https://review.px4.io/plot_app?log=548414cc-cec0-4370-9eb0-bccb7e152f27" TargetMode="External"/><Relationship Id="rId33" Type="http://schemas.openxmlformats.org/officeDocument/2006/relationships/hyperlink" Target="https://review.px4.io/plot_app?log=6716ba36-f76e-4bce-9516-daa66caf1183" TargetMode="External"/><Relationship Id="rId34" Type="http://schemas.openxmlformats.org/officeDocument/2006/relationships/hyperlink" Target="https://review.px4.io/plot_app?log=c77a53f5-40ba-416d-8a33-60bdc0a021c1" TargetMode="External"/><Relationship Id="rId35" Type="http://schemas.openxmlformats.org/officeDocument/2006/relationships/hyperlink" Target="https://review.px4.io/plot_app?log=e76eb7ce-e39c-4dec-80b0-a7a399bb3b5b" TargetMode="External"/><Relationship Id="rId36" Type="http://schemas.openxmlformats.org/officeDocument/2006/relationships/hyperlink" Target="https://review.px4.io/plot_app?log=14e1fff8-3407-4601-85de-5e80151c63d9" TargetMode="External"/><Relationship Id="rId37" Type="http://schemas.openxmlformats.org/officeDocument/2006/relationships/hyperlink" Target="https://review.px4.io/plot_app?log=98854ec4-9777-4e32-8d36-5df5864b5861" TargetMode="External"/><Relationship Id="rId38" Type="http://schemas.openxmlformats.org/officeDocument/2006/relationships/hyperlink" Target="https://review.px4.io/plot_app?log=64858e02-b9c2-4cc0-8ef4-1f2da98623f6" TargetMode="External"/><Relationship Id="rId39" Type="http://schemas.openxmlformats.org/officeDocument/2006/relationships/hyperlink" Target="https://review.px4.io/plot_app?log=aec2fbe9-f565-4cff-9bfe-85d01dbbedec" TargetMode="External"/><Relationship Id="rId40" Type="http://schemas.openxmlformats.org/officeDocument/2006/relationships/hyperlink" Target="https://review.px4.io/plot_app?log=ed868302-266e-4250-b664-9f1d7572b30f" TargetMode="External"/><Relationship Id="rId41" Type="http://schemas.openxmlformats.org/officeDocument/2006/relationships/hyperlink" Target="https://review.px4.io/plot_app?log=7452dcf3-4bbc-4d97-9686-fa43c80a3a3b" TargetMode="External"/><Relationship Id="rId42" Type="http://schemas.openxmlformats.org/officeDocument/2006/relationships/hyperlink" Target="https://review.px4.io/plot_app?log=cb1a1025-60ed-4f21-9709-0757a255795a" TargetMode="External"/><Relationship Id="rId43" Type="http://schemas.openxmlformats.org/officeDocument/2006/relationships/hyperlink" Target="https://review.px4.io/plot_app?log=e3b06542-fb81-4e26-86a2-eb0d11c3f344" TargetMode="External"/><Relationship Id="rId44" Type="http://schemas.openxmlformats.org/officeDocument/2006/relationships/hyperlink" Target="https://review.px4.io/plot_app?log=ef5d183f-b402-4f59-9f45-d83aed560f08" TargetMode="External"/><Relationship Id="rId45" Type="http://schemas.openxmlformats.org/officeDocument/2006/relationships/hyperlink" Target="https://review.px4.io/plot_app?log=5b636ba6-e2e5-4995-b27a-45b103a3a749" TargetMode="External"/><Relationship Id="rId46" Type="http://schemas.openxmlformats.org/officeDocument/2006/relationships/hyperlink" Target="https://review.px4.io/plot_app?log=7916cdcf-86ba-418c-8ee5-e5e858d94904" TargetMode="External"/><Relationship Id="rId47" Type="http://schemas.openxmlformats.org/officeDocument/2006/relationships/hyperlink" Target="https://review.px4.io/plot_app?log=57882030-fc63-4bd9-a444-e9bf866c7370" TargetMode="External"/><Relationship Id="rId48" Type="http://schemas.openxmlformats.org/officeDocument/2006/relationships/hyperlink" Target="https://review.px4.io/plot_app?log=0b2faba5-218d-43c4-88c2-157e24fd2c2f" TargetMode="External"/><Relationship Id="rId49" Type="http://schemas.openxmlformats.org/officeDocument/2006/relationships/hyperlink" Target="https://review.px4.io/plot_app?log=b66b08b1-97c4-442a-aedc-7fad7af6fb21" TargetMode="External"/><Relationship Id="rId50" Type="http://schemas.openxmlformats.org/officeDocument/2006/relationships/hyperlink" Target="https://review.px4.io/plot_app?log=371fa7cc-1edd-46b9-b4f9-b6b451d4a29e" TargetMode="External"/><Relationship Id="rId51" Type="http://schemas.openxmlformats.org/officeDocument/2006/relationships/hyperlink" Target="https://review.px4.io/plot_app?log=77de5523-4220-4772-972c-8edbf9fc8f69" TargetMode="External"/><Relationship Id="rId52" Type="http://schemas.openxmlformats.org/officeDocument/2006/relationships/hyperlink" Target="https://review.px4.io/plot_app?log=35fad7b1-5ff4-42aa-aecd-202a6379063d" TargetMode="External"/><Relationship Id="rId53" Type="http://schemas.openxmlformats.org/officeDocument/2006/relationships/hyperlink" Target="https://review.px4.io/plot_app?log=fa524739-91ce-4234-b16c-45c6b2d0709a" TargetMode="External"/><Relationship Id="rId54" Type="http://schemas.openxmlformats.org/officeDocument/2006/relationships/hyperlink" Target="https://review.px4.io/plot_app?log=d4374d67-dd03-4c6f-8fad-41309f212dd7" TargetMode="External"/><Relationship Id="rId55" Type="http://schemas.openxmlformats.org/officeDocument/2006/relationships/hyperlink" Target="https://review.px4.io/plot_app?log=1c8aa12d-cfec-437c-8682-5b080095b2f6" TargetMode="External"/><Relationship Id="rId56" Type="http://schemas.openxmlformats.org/officeDocument/2006/relationships/hyperlink" Target="https://review.px4.io/plot_app?log=95f65bf0-7a61-475a-b13f-0104a9334771" TargetMode="External"/><Relationship Id="rId57" Type="http://schemas.openxmlformats.org/officeDocument/2006/relationships/hyperlink" Target="https://review.px4.io/plot_app?log=60eb610f-08e2-4d36-b036-349de37bde66" TargetMode="External"/><Relationship Id="rId58" Type="http://schemas.openxmlformats.org/officeDocument/2006/relationships/hyperlink" Target="https://review.px4.io/plot_app?log=68822238-0240-4594-b2d2-ac842eb7a255" TargetMode="External"/><Relationship Id="rId59" Type="http://schemas.openxmlformats.org/officeDocument/2006/relationships/hyperlink" Target="https://review.px4.io/plot_app?log=feac8d13-3c0c-469e-b2b3-77f5f8e2808c" TargetMode="External"/><Relationship Id="rId60" Type="http://schemas.openxmlformats.org/officeDocument/2006/relationships/hyperlink" Target="https://review.px4.io/plot_app?log=5b7f1df3-48b2-4e7b-9394-b5eacaa79d10" TargetMode="External"/><Relationship Id="rId61" Type="http://schemas.openxmlformats.org/officeDocument/2006/relationships/hyperlink" Target="https://review.px4.io/plot_app?log=ddd2c183-3b57-4305-acb6-4d4264283287" TargetMode="External"/><Relationship Id="rId6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 collapsed="false" customWidth="true" hidden="false" outlineLevel="0" max="8" min="2" style="0" width="22"/>
  </cols>
  <sheetData>
    <row r="1" customFormat="false" ht="1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1"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1" t="s">
        <v>6</v>
      </c>
    </row>
    <row r="11" customFormat="false" ht="23.85" hidden="false" customHeight="false" outlineLevel="0" collapsed="false">
      <c r="A11" s="2"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row>
    <row r="15" customFormat="false" ht="23.85" hidden="false" customHeight="false" outlineLevel="0" collapsed="false">
      <c r="A15" s="2" t="s">
        <v>10</v>
      </c>
    </row>
    <row r="16" customFormat="false" ht="15" hidden="false" customHeight="false" outlineLevel="0" collapsed="false">
      <c r="A16" s="2"/>
    </row>
    <row r="17" customFormat="false" ht="15" hidden="false" customHeight="false" outlineLevel="0" collapsed="false">
      <c r="A17" s="1" t="s">
        <v>11</v>
      </c>
    </row>
    <row r="18" customFormat="false" ht="15" hidden="false" customHeight="false" outlineLevel="0" collapsed="false">
      <c r="A18" s="3" t="s">
        <v>12</v>
      </c>
      <c r="B18" s="4" t="s">
        <v>13</v>
      </c>
      <c r="C18" s="3" t="s">
        <v>14</v>
      </c>
      <c r="D18" s="4" t="s">
        <v>15</v>
      </c>
      <c r="E18" s="3" t="s">
        <v>16</v>
      </c>
      <c r="F18" s="4" t="s">
        <v>17</v>
      </c>
      <c r="G18" s="3" t="s">
        <v>18</v>
      </c>
      <c r="H18" s="4" t="s">
        <v>19</v>
      </c>
    </row>
    <row r="20" customFormat="false" ht="15" hidden="false" customHeight="false" outlineLevel="0" collapsed="false">
      <c r="A20" s="3" t="s">
        <v>20</v>
      </c>
      <c r="B20" s="4" t="str">
        <f aca="false">COUNTA(Review!J2:J61)&amp;" of 60"</f>
        <v>0 of 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12"/>
    <col collapsed="false" customWidth="true" hidden="false" outlineLevel="0" max="4" min="4" style="0" width="16"/>
    <col collapsed="false" customWidth="true" hidden="false" outlineLevel="0" max="5" min="5" style="0" width="12"/>
    <col collapsed="false" customWidth="true" hidden="false" outlineLevel="0" max="6" min="6" style="0" width="14"/>
    <col collapsed="false" customWidth="true" hidden="false" outlineLevel="0" max="7" min="7" style="0" width="8"/>
    <col collapsed="false" customWidth="true" hidden="false" outlineLevel="0" max="8" min="8" style="0" width="34"/>
    <col collapsed="false" customWidth="true" hidden="false" outlineLevel="0" max="9" min="9" style="0" width="60"/>
    <col collapsed="false" customWidth="true" hidden="false" outlineLevel="0" max="10" min="10" style="0" width="14"/>
    <col collapsed="false" customWidth="true" hidden="false" outlineLevel="0" max="11" min="11" style="0" width="26"/>
    <col collapsed="false" customWidth="true" hidden="false" outlineLevel="0" max="12" min="12" style="0" width="12"/>
    <col collapsed="false" customWidth="true" hidden="false" outlineLevel="0" max="13" min="13" style="0" width="50"/>
  </cols>
  <sheetData>
    <row r="1" customFormat="false" ht="23.85" hidden="false" customHeight="false" outlineLevel="0" collapsed="false">
      <c r="A1" s="5" t="s">
        <v>21</v>
      </c>
      <c r="B1" s="5" t="s">
        <v>22</v>
      </c>
      <c r="C1" s="5" t="s">
        <v>23</v>
      </c>
      <c r="D1" s="5" t="s">
        <v>24</v>
      </c>
      <c r="E1" s="5" t="s">
        <v>25</v>
      </c>
      <c r="F1" s="5" t="s">
        <v>26</v>
      </c>
      <c r="G1" s="5" t="s">
        <v>27</v>
      </c>
      <c r="H1" s="5" t="s">
        <v>28</v>
      </c>
      <c r="I1" s="5" t="s">
        <v>29</v>
      </c>
      <c r="J1" s="5" t="s">
        <v>12</v>
      </c>
      <c r="K1" s="5" t="s">
        <v>14</v>
      </c>
      <c r="L1" s="5" t="s">
        <v>16</v>
      </c>
      <c r="M1" s="5" t="s">
        <v>18</v>
      </c>
    </row>
    <row r="2" customFormat="false" ht="102.2" hidden="false" customHeight="false" outlineLevel="0" collapsed="false">
      <c r="A2" s="6" t="n">
        <v>1</v>
      </c>
      <c r="B2" s="6" t="s">
        <v>30</v>
      </c>
      <c r="C2" s="7" t="s">
        <v>23</v>
      </c>
      <c r="D2" s="6" t="s">
        <v>31</v>
      </c>
      <c r="E2" s="6" t="n">
        <v>26.6</v>
      </c>
      <c r="F2" s="6" t="s">
        <v>32</v>
      </c>
      <c r="G2" s="6" t="s">
        <v>33</v>
      </c>
      <c r="H2" s="6" t="s">
        <v>34</v>
      </c>
      <c r="I2" s="6" t="s">
        <v>35</v>
      </c>
      <c r="J2" s="8"/>
      <c r="K2" s="8"/>
      <c r="L2" s="8"/>
      <c r="M2" s="8"/>
    </row>
    <row r="3" customFormat="false" ht="35.05" hidden="false" customHeight="false" outlineLevel="0" collapsed="false">
      <c r="A3" s="6" t="n">
        <v>2</v>
      </c>
      <c r="B3" s="6" t="s">
        <v>36</v>
      </c>
      <c r="C3" s="7" t="s">
        <v>23</v>
      </c>
      <c r="D3" s="6" t="s">
        <v>37</v>
      </c>
      <c r="E3" s="6" t="n">
        <v>12.3</v>
      </c>
      <c r="F3" s="6" t="s">
        <v>38</v>
      </c>
      <c r="G3" s="6" t="s">
        <v>33</v>
      </c>
      <c r="H3" s="6" t="s">
        <v>39</v>
      </c>
      <c r="I3" s="6" t="s">
        <v>40</v>
      </c>
      <c r="J3" s="8"/>
      <c r="K3" s="8"/>
      <c r="L3" s="8"/>
      <c r="M3" s="8"/>
    </row>
    <row r="4" customFormat="false" ht="57.45" hidden="false" customHeight="false" outlineLevel="0" collapsed="false">
      <c r="A4" s="6" t="n">
        <v>3</v>
      </c>
      <c r="B4" s="6" t="s">
        <v>41</v>
      </c>
      <c r="C4" s="7" t="s">
        <v>23</v>
      </c>
      <c r="D4" s="6" t="s">
        <v>42</v>
      </c>
      <c r="E4" s="6" t="n">
        <v>250.2</v>
      </c>
      <c r="F4" s="6" t="s">
        <v>43</v>
      </c>
      <c r="G4" s="6" t="s">
        <v>33</v>
      </c>
      <c r="H4" s="6" t="s">
        <v>34</v>
      </c>
      <c r="I4" s="6" t="s">
        <v>44</v>
      </c>
      <c r="J4" s="8"/>
      <c r="K4" s="8"/>
      <c r="L4" s="8"/>
      <c r="M4" s="8"/>
    </row>
    <row r="5" customFormat="false" ht="46.25" hidden="false" customHeight="false" outlineLevel="0" collapsed="false">
      <c r="A5" s="6" t="n">
        <v>4</v>
      </c>
      <c r="B5" s="6" t="s">
        <v>45</v>
      </c>
      <c r="C5" s="7" t="s">
        <v>23</v>
      </c>
      <c r="D5" s="6" t="s">
        <v>31</v>
      </c>
      <c r="E5" s="6" t="n">
        <v>20</v>
      </c>
      <c r="F5" s="6" t="s">
        <v>32</v>
      </c>
      <c r="G5" s="6" t="s">
        <v>33</v>
      </c>
      <c r="H5" s="6" t="s">
        <v>34</v>
      </c>
      <c r="I5" s="6" t="s">
        <v>46</v>
      </c>
      <c r="J5" s="8"/>
      <c r="K5" s="8"/>
      <c r="L5" s="8"/>
      <c r="M5" s="8"/>
    </row>
    <row r="6" customFormat="false" ht="15" hidden="false" customHeight="false" outlineLevel="0" collapsed="false">
      <c r="A6" s="6" t="n">
        <v>5</v>
      </c>
      <c r="B6" s="6" t="s">
        <v>47</v>
      </c>
      <c r="C6" s="7" t="s">
        <v>23</v>
      </c>
      <c r="D6" s="6" t="s">
        <v>37</v>
      </c>
      <c r="E6" s="6" t="n">
        <v>25</v>
      </c>
      <c r="F6" s="6" t="s">
        <v>43</v>
      </c>
      <c r="G6" s="6" t="s">
        <v>33</v>
      </c>
      <c r="H6" s="6" t="s">
        <v>39</v>
      </c>
      <c r="I6" s="6" t="s">
        <v>48</v>
      </c>
      <c r="J6" s="8"/>
      <c r="K6" s="8"/>
      <c r="L6" s="8"/>
      <c r="M6" s="8"/>
    </row>
    <row r="7" customFormat="false" ht="102.2" hidden="false" customHeight="false" outlineLevel="0" collapsed="false">
      <c r="A7" s="6" t="n">
        <v>6</v>
      </c>
      <c r="B7" s="6" t="s">
        <v>49</v>
      </c>
      <c r="C7" s="7" t="s">
        <v>23</v>
      </c>
      <c r="D7" s="6" t="s">
        <v>37</v>
      </c>
      <c r="E7" s="6" t="n">
        <v>7.6</v>
      </c>
      <c r="F7" s="6" t="s">
        <v>50</v>
      </c>
      <c r="G7" s="6" t="s">
        <v>33</v>
      </c>
      <c r="H7" s="6" t="s">
        <v>51</v>
      </c>
      <c r="I7" s="6" t="s">
        <v>52</v>
      </c>
      <c r="J7" s="8"/>
      <c r="K7" s="8"/>
      <c r="L7" s="8"/>
      <c r="M7" s="8"/>
    </row>
    <row r="8" customFormat="false" ht="15" hidden="false" customHeight="false" outlineLevel="0" collapsed="false">
      <c r="A8" s="6" t="n">
        <v>7</v>
      </c>
      <c r="B8" s="6" t="s">
        <v>53</v>
      </c>
      <c r="C8" s="7" t="s">
        <v>23</v>
      </c>
      <c r="D8" s="6" t="s">
        <v>37</v>
      </c>
      <c r="E8" s="6" t="n">
        <v>5.5</v>
      </c>
      <c r="F8" s="6" t="s">
        <v>32</v>
      </c>
      <c r="G8" s="6" t="s">
        <v>33</v>
      </c>
      <c r="H8" s="6" t="s">
        <v>54</v>
      </c>
      <c r="I8" s="6" t="s">
        <v>55</v>
      </c>
      <c r="J8" s="8"/>
      <c r="K8" s="8"/>
      <c r="L8" s="8"/>
      <c r="M8" s="8"/>
    </row>
    <row r="9" customFormat="false" ht="23.85" hidden="false" customHeight="false" outlineLevel="0" collapsed="false">
      <c r="A9" s="6" t="n">
        <v>8</v>
      </c>
      <c r="B9" s="6" t="s">
        <v>56</v>
      </c>
      <c r="C9" s="7" t="s">
        <v>23</v>
      </c>
      <c r="D9" s="6" t="s">
        <v>57</v>
      </c>
      <c r="E9" s="6" t="n">
        <v>16.5</v>
      </c>
      <c r="F9" s="6" t="s">
        <v>58</v>
      </c>
      <c r="G9" s="6" t="s">
        <v>33</v>
      </c>
      <c r="H9" s="6" t="s">
        <v>59</v>
      </c>
      <c r="I9" s="6" t="s">
        <v>60</v>
      </c>
      <c r="J9" s="8"/>
      <c r="K9" s="8"/>
      <c r="L9" s="8"/>
      <c r="M9" s="8"/>
    </row>
    <row r="10" customFormat="false" ht="15" hidden="false" customHeight="false" outlineLevel="0" collapsed="false">
      <c r="A10" s="6" t="n">
        <v>9</v>
      </c>
      <c r="B10" s="6" t="s">
        <v>61</v>
      </c>
      <c r="C10" s="7" t="s">
        <v>23</v>
      </c>
      <c r="D10" s="6" t="s">
        <v>62</v>
      </c>
      <c r="E10" s="6" t="n">
        <v>109.5</v>
      </c>
      <c r="F10" s="6" t="s">
        <v>38</v>
      </c>
      <c r="G10" s="6" t="s">
        <v>33</v>
      </c>
      <c r="H10" s="6" t="s">
        <v>34</v>
      </c>
      <c r="I10" s="6" t="s">
        <v>55</v>
      </c>
      <c r="J10" s="8"/>
      <c r="K10" s="8"/>
      <c r="L10" s="8"/>
      <c r="M10" s="8"/>
    </row>
    <row r="11" customFormat="false" ht="15" hidden="false" customHeight="false" outlineLevel="0" collapsed="false">
      <c r="A11" s="6" t="n">
        <v>10</v>
      </c>
      <c r="B11" s="6" t="s">
        <v>63</v>
      </c>
      <c r="C11" s="7" t="s">
        <v>23</v>
      </c>
      <c r="D11" s="6" t="s">
        <v>37</v>
      </c>
      <c r="E11" s="6" t="n">
        <v>4.1</v>
      </c>
      <c r="F11" s="6" t="s">
        <v>32</v>
      </c>
      <c r="G11" s="6" t="s">
        <v>33</v>
      </c>
      <c r="H11" s="6" t="s">
        <v>39</v>
      </c>
      <c r="I11" s="6" t="s">
        <v>55</v>
      </c>
      <c r="J11" s="8"/>
      <c r="K11" s="8"/>
      <c r="L11" s="8"/>
      <c r="M11" s="8"/>
    </row>
    <row r="12" customFormat="false" ht="15" hidden="false" customHeight="false" outlineLevel="0" collapsed="false">
      <c r="A12" s="6" t="n">
        <v>11</v>
      </c>
      <c r="B12" s="6" t="s">
        <v>64</v>
      </c>
      <c r="C12" s="7" t="s">
        <v>23</v>
      </c>
      <c r="D12" s="6" t="s">
        <v>37</v>
      </c>
      <c r="E12" s="6" t="n">
        <v>44.8</v>
      </c>
      <c r="F12" s="6" t="s">
        <v>65</v>
      </c>
      <c r="G12" s="6" t="s">
        <v>33</v>
      </c>
      <c r="H12" s="6" t="s">
        <v>39</v>
      </c>
      <c r="I12" s="6"/>
      <c r="J12" s="8"/>
      <c r="K12" s="8"/>
      <c r="L12" s="8"/>
      <c r="M12" s="8"/>
    </row>
    <row r="13" customFormat="false" ht="15" hidden="false" customHeight="false" outlineLevel="0" collapsed="false">
      <c r="A13" s="6" t="n">
        <v>12</v>
      </c>
      <c r="B13" s="6" t="s">
        <v>66</v>
      </c>
      <c r="C13" s="7" t="s">
        <v>23</v>
      </c>
      <c r="D13" s="6" t="s">
        <v>57</v>
      </c>
      <c r="E13" s="6" t="n">
        <v>20.1</v>
      </c>
      <c r="F13" s="6" t="s">
        <v>58</v>
      </c>
      <c r="G13" s="6" t="s">
        <v>67</v>
      </c>
      <c r="H13" s="6" t="s">
        <v>39</v>
      </c>
      <c r="I13" s="6"/>
      <c r="J13" s="8"/>
      <c r="K13" s="8"/>
      <c r="L13" s="8"/>
      <c r="M13" s="8"/>
    </row>
    <row r="14" customFormat="false" ht="15" hidden="false" customHeight="false" outlineLevel="0" collapsed="false">
      <c r="A14" s="6" t="n">
        <v>13</v>
      </c>
      <c r="B14" s="6" t="s">
        <v>68</v>
      </c>
      <c r="C14" s="7" t="s">
        <v>23</v>
      </c>
      <c r="D14" s="6" t="s">
        <v>37</v>
      </c>
      <c r="E14" s="6" t="n">
        <v>12.6</v>
      </c>
      <c r="F14" s="6" t="s">
        <v>38</v>
      </c>
      <c r="G14" s="6" t="s">
        <v>33</v>
      </c>
      <c r="H14" s="6" t="s">
        <v>69</v>
      </c>
      <c r="I14" s="6" t="s">
        <v>55</v>
      </c>
      <c r="J14" s="8"/>
      <c r="K14" s="8"/>
      <c r="L14" s="8"/>
      <c r="M14" s="8"/>
    </row>
    <row r="15" customFormat="false" ht="15" hidden="false" customHeight="false" outlineLevel="0" collapsed="false">
      <c r="A15" s="6" t="n">
        <v>14</v>
      </c>
      <c r="B15" s="6" t="s">
        <v>70</v>
      </c>
      <c r="C15" s="7" t="s">
        <v>23</v>
      </c>
      <c r="D15" s="6" t="s">
        <v>37</v>
      </c>
      <c r="E15" s="6" t="n">
        <v>6.5</v>
      </c>
      <c r="F15" s="6" t="s">
        <v>71</v>
      </c>
      <c r="G15" s="6" t="s">
        <v>33</v>
      </c>
      <c r="H15" s="6" t="s">
        <v>69</v>
      </c>
      <c r="I15" s="6" t="s">
        <v>55</v>
      </c>
      <c r="J15" s="8"/>
      <c r="K15" s="8"/>
      <c r="L15" s="8"/>
      <c r="M15" s="8"/>
    </row>
    <row r="16" customFormat="false" ht="23.85" hidden="false" customHeight="false" outlineLevel="0" collapsed="false">
      <c r="A16" s="6" t="n">
        <v>15</v>
      </c>
      <c r="B16" s="6" t="s">
        <v>72</v>
      </c>
      <c r="C16" s="7" t="s">
        <v>23</v>
      </c>
      <c r="D16" s="6" t="s">
        <v>73</v>
      </c>
      <c r="E16" s="6" t="n">
        <v>107.5</v>
      </c>
      <c r="F16" s="6" t="s">
        <v>43</v>
      </c>
      <c r="G16" s="6" t="s">
        <v>33</v>
      </c>
      <c r="H16" s="6" t="s">
        <v>54</v>
      </c>
      <c r="I16" s="6" t="s">
        <v>74</v>
      </c>
      <c r="J16" s="8"/>
      <c r="K16" s="8"/>
      <c r="L16" s="8"/>
      <c r="M16" s="8"/>
    </row>
    <row r="17" customFormat="false" ht="35.05" hidden="false" customHeight="false" outlineLevel="0" collapsed="false">
      <c r="A17" s="6" t="n">
        <v>16</v>
      </c>
      <c r="B17" s="6" t="s">
        <v>75</v>
      </c>
      <c r="C17" s="7" t="s">
        <v>23</v>
      </c>
      <c r="D17" s="6" t="s">
        <v>37</v>
      </c>
      <c r="E17" s="6" t="n">
        <v>29.4</v>
      </c>
      <c r="F17" s="6" t="s">
        <v>71</v>
      </c>
      <c r="G17" s="6" t="s">
        <v>33</v>
      </c>
      <c r="H17" s="6" t="s">
        <v>76</v>
      </c>
      <c r="I17" s="6" t="s">
        <v>77</v>
      </c>
      <c r="J17" s="8"/>
      <c r="K17" s="8"/>
      <c r="L17" s="8"/>
      <c r="M17" s="8"/>
    </row>
    <row r="18" customFormat="false" ht="46.25" hidden="false" customHeight="false" outlineLevel="0" collapsed="false">
      <c r="A18" s="6" t="n">
        <v>17</v>
      </c>
      <c r="B18" s="6" t="s">
        <v>78</v>
      </c>
      <c r="C18" s="7" t="s">
        <v>23</v>
      </c>
      <c r="D18" s="6" t="s">
        <v>57</v>
      </c>
      <c r="E18" s="6" t="n">
        <v>85.8</v>
      </c>
      <c r="F18" s="6" t="s">
        <v>38</v>
      </c>
      <c r="G18" s="6" t="s">
        <v>33</v>
      </c>
      <c r="H18" s="6" t="s">
        <v>39</v>
      </c>
      <c r="I18" s="6" t="s">
        <v>79</v>
      </c>
      <c r="J18" s="8"/>
      <c r="K18" s="8"/>
      <c r="L18" s="8"/>
      <c r="M18" s="8"/>
    </row>
    <row r="19" customFormat="false" ht="79.85" hidden="false" customHeight="false" outlineLevel="0" collapsed="false">
      <c r="A19" s="6" t="n">
        <v>18</v>
      </c>
      <c r="B19" s="6" t="s">
        <v>80</v>
      </c>
      <c r="C19" s="7" t="s">
        <v>23</v>
      </c>
      <c r="D19" s="6" t="s">
        <v>37</v>
      </c>
      <c r="E19" s="6" t="n">
        <v>179.2</v>
      </c>
      <c r="F19" s="6" t="s">
        <v>43</v>
      </c>
      <c r="G19" s="6" t="s">
        <v>33</v>
      </c>
      <c r="H19" s="6" t="s">
        <v>69</v>
      </c>
      <c r="I19" s="6" t="s">
        <v>81</v>
      </c>
      <c r="J19" s="8"/>
      <c r="K19" s="8"/>
      <c r="L19" s="8"/>
      <c r="M19" s="8"/>
    </row>
    <row r="20" customFormat="false" ht="15" hidden="false" customHeight="false" outlineLevel="0" collapsed="false">
      <c r="A20" s="6" t="n">
        <v>19</v>
      </c>
      <c r="B20" s="6" t="s">
        <v>82</v>
      </c>
      <c r="C20" s="7" t="s">
        <v>23</v>
      </c>
      <c r="D20" s="6" t="s">
        <v>57</v>
      </c>
      <c r="E20" s="6" t="n">
        <v>19.7</v>
      </c>
      <c r="F20" s="6" t="s">
        <v>32</v>
      </c>
      <c r="G20" s="6" t="s">
        <v>33</v>
      </c>
      <c r="H20" s="6" t="s">
        <v>34</v>
      </c>
      <c r="I20" s="6" t="s">
        <v>83</v>
      </c>
      <c r="J20" s="8"/>
      <c r="K20" s="8"/>
      <c r="L20" s="8"/>
      <c r="M20" s="8"/>
    </row>
    <row r="21" customFormat="false" ht="23.85" hidden="false" customHeight="false" outlineLevel="0" collapsed="false">
      <c r="A21" s="6" t="n">
        <v>20</v>
      </c>
      <c r="B21" s="6" t="s">
        <v>84</v>
      </c>
      <c r="C21" s="7" t="s">
        <v>23</v>
      </c>
      <c r="D21" s="6" t="s">
        <v>37</v>
      </c>
      <c r="E21" s="6" t="n">
        <v>10.8</v>
      </c>
      <c r="F21" s="6" t="s">
        <v>32</v>
      </c>
      <c r="G21" s="6" t="s">
        <v>33</v>
      </c>
      <c r="H21" s="6" t="s">
        <v>39</v>
      </c>
      <c r="I21" s="6" t="s">
        <v>85</v>
      </c>
      <c r="J21" s="8"/>
      <c r="K21" s="8"/>
      <c r="L21" s="8"/>
      <c r="M21" s="8"/>
    </row>
    <row r="22" customFormat="false" ht="15" hidden="false" customHeight="false" outlineLevel="0" collapsed="false">
      <c r="A22" s="6" t="n">
        <v>21</v>
      </c>
      <c r="B22" s="6" t="s">
        <v>86</v>
      </c>
      <c r="C22" s="7" t="s">
        <v>23</v>
      </c>
      <c r="D22" s="6" t="s">
        <v>57</v>
      </c>
      <c r="E22" s="6" t="n">
        <v>244.9</v>
      </c>
      <c r="F22" s="6" t="s">
        <v>43</v>
      </c>
      <c r="G22" s="6" t="s">
        <v>33</v>
      </c>
      <c r="H22" s="6" t="s">
        <v>34</v>
      </c>
      <c r="I22" s="6" t="s">
        <v>87</v>
      </c>
      <c r="J22" s="8"/>
      <c r="K22" s="8"/>
      <c r="L22" s="8"/>
      <c r="M22" s="8"/>
    </row>
    <row r="23" customFormat="false" ht="15" hidden="false" customHeight="false" outlineLevel="0" collapsed="false">
      <c r="A23" s="6" t="n">
        <v>22</v>
      </c>
      <c r="B23" s="6" t="s">
        <v>88</v>
      </c>
      <c r="C23" s="7" t="s">
        <v>23</v>
      </c>
      <c r="D23" s="6" t="s">
        <v>62</v>
      </c>
      <c r="E23" s="6" t="n">
        <v>540.5</v>
      </c>
      <c r="F23" s="6" t="s">
        <v>38</v>
      </c>
      <c r="G23" s="6" t="s">
        <v>33</v>
      </c>
      <c r="H23" s="6" t="s">
        <v>34</v>
      </c>
      <c r="I23" s="6" t="s">
        <v>55</v>
      </c>
      <c r="J23" s="8"/>
      <c r="K23" s="8"/>
      <c r="L23" s="8"/>
      <c r="M23" s="8"/>
    </row>
    <row r="24" customFormat="false" ht="15" hidden="false" customHeight="false" outlineLevel="0" collapsed="false">
      <c r="A24" s="6" t="n">
        <v>23</v>
      </c>
      <c r="B24" s="6" t="s">
        <v>89</v>
      </c>
      <c r="C24" s="7" t="s">
        <v>23</v>
      </c>
      <c r="D24" s="6" t="s">
        <v>57</v>
      </c>
      <c r="E24" s="6" t="n">
        <v>35.9</v>
      </c>
      <c r="F24" s="6" t="s">
        <v>58</v>
      </c>
      <c r="G24" s="6" t="s">
        <v>33</v>
      </c>
      <c r="H24" s="6" t="s">
        <v>34</v>
      </c>
      <c r="I24" s="6" t="s">
        <v>90</v>
      </c>
      <c r="J24" s="8"/>
      <c r="K24" s="8"/>
      <c r="L24" s="8"/>
      <c r="M24" s="8"/>
    </row>
    <row r="25" customFormat="false" ht="15" hidden="false" customHeight="false" outlineLevel="0" collapsed="false">
      <c r="A25" s="6" t="n">
        <v>24</v>
      </c>
      <c r="B25" s="6" t="s">
        <v>91</v>
      </c>
      <c r="C25" s="7" t="s">
        <v>23</v>
      </c>
      <c r="D25" s="6" t="s">
        <v>57</v>
      </c>
      <c r="E25" s="6" t="n">
        <v>676.7</v>
      </c>
      <c r="F25" s="6" t="s">
        <v>38</v>
      </c>
      <c r="G25" s="6" t="s">
        <v>33</v>
      </c>
      <c r="H25" s="6" t="s">
        <v>39</v>
      </c>
      <c r="I25" s="6"/>
      <c r="J25" s="8"/>
      <c r="K25" s="8"/>
      <c r="L25" s="8"/>
      <c r="M25" s="8"/>
    </row>
    <row r="26" customFormat="false" ht="23.85" hidden="false" customHeight="false" outlineLevel="0" collapsed="false">
      <c r="A26" s="6" t="n">
        <v>25</v>
      </c>
      <c r="B26" s="6" t="s">
        <v>92</v>
      </c>
      <c r="C26" s="7" t="s">
        <v>23</v>
      </c>
      <c r="D26" s="6" t="s">
        <v>37</v>
      </c>
      <c r="E26" s="6" t="n">
        <v>9.8</v>
      </c>
      <c r="F26" s="6" t="s">
        <v>93</v>
      </c>
      <c r="G26" s="6" t="s">
        <v>33</v>
      </c>
      <c r="H26" s="6" t="s">
        <v>39</v>
      </c>
      <c r="I26" s="6" t="s">
        <v>94</v>
      </c>
      <c r="J26" s="8"/>
      <c r="K26" s="8"/>
      <c r="L26" s="8"/>
      <c r="M26" s="8"/>
    </row>
    <row r="27" customFormat="false" ht="23.85" hidden="false" customHeight="false" outlineLevel="0" collapsed="false">
      <c r="A27" s="6" t="n">
        <v>26</v>
      </c>
      <c r="B27" s="6" t="s">
        <v>95</v>
      </c>
      <c r="C27" s="7" t="s">
        <v>23</v>
      </c>
      <c r="D27" s="6" t="s">
        <v>37</v>
      </c>
      <c r="E27" s="6" t="n">
        <v>45.8</v>
      </c>
      <c r="F27" s="6" t="s">
        <v>96</v>
      </c>
      <c r="G27" s="6" t="s">
        <v>33</v>
      </c>
      <c r="H27" s="6" t="s">
        <v>97</v>
      </c>
      <c r="I27" s="6" t="s">
        <v>98</v>
      </c>
      <c r="J27" s="8"/>
      <c r="K27" s="8"/>
      <c r="L27" s="8"/>
      <c r="M27" s="8"/>
    </row>
    <row r="28" customFormat="false" ht="15" hidden="false" customHeight="false" outlineLevel="0" collapsed="false">
      <c r="A28" s="6" t="n">
        <v>27</v>
      </c>
      <c r="B28" s="6" t="s">
        <v>99</v>
      </c>
      <c r="C28" s="7" t="s">
        <v>23</v>
      </c>
      <c r="D28" s="6" t="s">
        <v>37</v>
      </c>
      <c r="E28" s="6" t="n">
        <v>8.1</v>
      </c>
      <c r="F28" s="6" t="s">
        <v>32</v>
      </c>
      <c r="G28" s="6" t="s">
        <v>33</v>
      </c>
      <c r="H28" s="6" t="s">
        <v>39</v>
      </c>
      <c r="I28" s="6" t="s">
        <v>55</v>
      </c>
      <c r="J28" s="8"/>
      <c r="K28" s="8"/>
      <c r="L28" s="8"/>
      <c r="M28" s="8"/>
    </row>
    <row r="29" customFormat="false" ht="15" hidden="false" customHeight="false" outlineLevel="0" collapsed="false">
      <c r="A29" s="6" t="n">
        <v>28</v>
      </c>
      <c r="B29" s="6" t="s">
        <v>100</v>
      </c>
      <c r="C29" s="7" t="s">
        <v>23</v>
      </c>
      <c r="D29" s="6" t="s">
        <v>37</v>
      </c>
      <c r="E29" s="6" t="n">
        <v>40.7</v>
      </c>
      <c r="F29" s="6" t="s">
        <v>96</v>
      </c>
      <c r="G29" s="6" t="s">
        <v>33</v>
      </c>
      <c r="H29" s="6" t="s">
        <v>39</v>
      </c>
      <c r="I29" s="6" t="s">
        <v>101</v>
      </c>
      <c r="J29" s="8"/>
      <c r="K29" s="8"/>
      <c r="L29" s="8"/>
      <c r="M29" s="8"/>
    </row>
    <row r="30" customFormat="false" ht="23.85" hidden="false" customHeight="false" outlineLevel="0" collapsed="false">
      <c r="A30" s="6" t="n">
        <v>29</v>
      </c>
      <c r="B30" s="6" t="s">
        <v>102</v>
      </c>
      <c r="C30" s="7" t="s">
        <v>23</v>
      </c>
      <c r="D30" s="6" t="s">
        <v>37</v>
      </c>
      <c r="E30" s="6" t="n">
        <v>64.6</v>
      </c>
      <c r="F30" s="6" t="s">
        <v>43</v>
      </c>
      <c r="G30" s="6" t="s">
        <v>33</v>
      </c>
      <c r="H30" s="6" t="s">
        <v>59</v>
      </c>
      <c r="I30" s="6" t="s">
        <v>55</v>
      </c>
      <c r="J30" s="8"/>
      <c r="K30" s="8"/>
      <c r="L30" s="8"/>
      <c r="M30" s="8"/>
    </row>
    <row r="31" customFormat="false" ht="15" hidden="false" customHeight="false" outlineLevel="0" collapsed="false">
      <c r="A31" s="6" t="n">
        <v>30</v>
      </c>
      <c r="B31" s="6" t="s">
        <v>103</v>
      </c>
      <c r="C31" s="7" t="s">
        <v>23</v>
      </c>
      <c r="D31" s="6" t="s">
        <v>37</v>
      </c>
      <c r="E31" s="6" t="n">
        <v>63</v>
      </c>
      <c r="F31" s="6" t="s">
        <v>43</v>
      </c>
      <c r="G31" s="6" t="s">
        <v>33</v>
      </c>
      <c r="H31" s="6" t="s">
        <v>39</v>
      </c>
      <c r="I31" s="6" t="s">
        <v>104</v>
      </c>
      <c r="J31" s="8"/>
      <c r="K31" s="8"/>
      <c r="L31" s="8"/>
      <c r="M31" s="8"/>
    </row>
    <row r="32" customFormat="false" ht="15" hidden="false" customHeight="false" outlineLevel="0" collapsed="false">
      <c r="A32" s="6" t="n">
        <v>31</v>
      </c>
      <c r="B32" s="6" t="s">
        <v>105</v>
      </c>
      <c r="C32" s="7" t="s">
        <v>23</v>
      </c>
      <c r="D32" s="6" t="s">
        <v>57</v>
      </c>
      <c r="E32" s="6" t="n">
        <v>18.8</v>
      </c>
      <c r="F32" s="6" t="s">
        <v>32</v>
      </c>
      <c r="G32" s="6" t="s">
        <v>33</v>
      </c>
      <c r="H32" s="6" t="s">
        <v>34</v>
      </c>
      <c r="I32" s="6" t="s">
        <v>106</v>
      </c>
      <c r="J32" s="8"/>
      <c r="K32" s="8"/>
      <c r="L32" s="8"/>
      <c r="M32" s="8"/>
    </row>
    <row r="33" customFormat="false" ht="23.85" hidden="false" customHeight="false" outlineLevel="0" collapsed="false">
      <c r="A33" s="6" t="n">
        <v>32</v>
      </c>
      <c r="B33" s="6" t="s">
        <v>107</v>
      </c>
      <c r="C33" s="7" t="s">
        <v>23</v>
      </c>
      <c r="D33" s="6" t="s">
        <v>37</v>
      </c>
      <c r="E33" s="6" t="n">
        <v>8.2</v>
      </c>
      <c r="F33" s="6" t="s">
        <v>43</v>
      </c>
      <c r="G33" s="6" t="s">
        <v>33</v>
      </c>
      <c r="H33" s="6" t="s">
        <v>108</v>
      </c>
      <c r="I33" s="6" t="s">
        <v>55</v>
      </c>
      <c r="J33" s="8"/>
      <c r="K33" s="8"/>
      <c r="L33" s="8"/>
      <c r="M33" s="8"/>
    </row>
    <row r="34" customFormat="false" ht="15" hidden="false" customHeight="false" outlineLevel="0" collapsed="false">
      <c r="A34" s="6" t="n">
        <v>33</v>
      </c>
      <c r="B34" s="6" t="s">
        <v>109</v>
      </c>
      <c r="C34" s="7" t="s">
        <v>23</v>
      </c>
      <c r="D34" s="6" t="s">
        <v>37</v>
      </c>
      <c r="E34" s="6" t="n">
        <v>75.5</v>
      </c>
      <c r="F34" s="6" t="s">
        <v>50</v>
      </c>
      <c r="G34" s="6" t="s">
        <v>33</v>
      </c>
      <c r="H34" s="6" t="s">
        <v>39</v>
      </c>
      <c r="I34" s="6" t="s">
        <v>110</v>
      </c>
      <c r="J34" s="8"/>
      <c r="K34" s="8"/>
      <c r="L34" s="8"/>
      <c r="M34" s="8"/>
    </row>
    <row r="35" customFormat="false" ht="35.05" hidden="false" customHeight="false" outlineLevel="0" collapsed="false">
      <c r="A35" s="6" t="n">
        <v>34</v>
      </c>
      <c r="B35" s="6" t="s">
        <v>111</v>
      </c>
      <c r="C35" s="7" t="s">
        <v>23</v>
      </c>
      <c r="D35" s="6" t="s">
        <v>42</v>
      </c>
      <c r="E35" s="6" t="n">
        <v>31</v>
      </c>
      <c r="F35" s="6" t="s">
        <v>38</v>
      </c>
      <c r="G35" s="6" t="s">
        <v>33</v>
      </c>
      <c r="H35" s="6" t="s">
        <v>39</v>
      </c>
      <c r="I35" s="6" t="s">
        <v>112</v>
      </c>
      <c r="J35" s="8"/>
      <c r="K35" s="8"/>
      <c r="L35" s="8"/>
      <c r="M35" s="8"/>
    </row>
    <row r="36" customFormat="false" ht="15" hidden="false" customHeight="false" outlineLevel="0" collapsed="false">
      <c r="A36" s="6" t="n">
        <v>35</v>
      </c>
      <c r="B36" s="6" t="s">
        <v>113</v>
      </c>
      <c r="C36" s="7" t="s">
        <v>23</v>
      </c>
      <c r="D36" s="6" t="s">
        <v>62</v>
      </c>
      <c r="E36" s="6" t="n">
        <v>140.1</v>
      </c>
      <c r="F36" s="6" t="s">
        <v>38</v>
      </c>
      <c r="G36" s="6" t="s">
        <v>33</v>
      </c>
      <c r="H36" s="6" t="s">
        <v>34</v>
      </c>
      <c r="I36" s="6" t="s">
        <v>55</v>
      </c>
      <c r="J36" s="8"/>
      <c r="K36" s="8"/>
      <c r="L36" s="8"/>
      <c r="M36" s="8"/>
    </row>
    <row r="37" customFormat="false" ht="15" hidden="false" customHeight="false" outlineLevel="0" collapsed="false">
      <c r="A37" s="6" t="n">
        <v>36</v>
      </c>
      <c r="B37" s="6" t="s">
        <v>114</v>
      </c>
      <c r="C37" s="7" t="s">
        <v>23</v>
      </c>
      <c r="D37" s="6" t="s">
        <v>37</v>
      </c>
      <c r="E37" s="6" t="n">
        <v>5.3</v>
      </c>
      <c r="F37" s="6" t="s">
        <v>32</v>
      </c>
      <c r="G37" s="6" t="s">
        <v>33</v>
      </c>
      <c r="H37" s="6" t="s">
        <v>54</v>
      </c>
      <c r="I37" s="6" t="s">
        <v>55</v>
      </c>
      <c r="J37" s="8"/>
      <c r="K37" s="8"/>
      <c r="L37" s="8"/>
      <c r="M37" s="8"/>
    </row>
    <row r="38" customFormat="false" ht="15" hidden="false" customHeight="false" outlineLevel="0" collapsed="false">
      <c r="A38" s="6" t="n">
        <v>37</v>
      </c>
      <c r="B38" s="6" t="s">
        <v>115</v>
      </c>
      <c r="C38" s="7" t="s">
        <v>23</v>
      </c>
      <c r="D38" s="6" t="s">
        <v>57</v>
      </c>
      <c r="E38" s="6" t="n">
        <v>5.9</v>
      </c>
      <c r="F38" s="6" t="s">
        <v>93</v>
      </c>
      <c r="G38" s="6" t="s">
        <v>33</v>
      </c>
      <c r="H38" s="6" t="s">
        <v>39</v>
      </c>
      <c r="I38" s="6" t="s">
        <v>55</v>
      </c>
      <c r="J38" s="8"/>
      <c r="K38" s="8"/>
      <c r="L38" s="8"/>
      <c r="M38" s="8"/>
    </row>
    <row r="39" customFormat="false" ht="15" hidden="false" customHeight="false" outlineLevel="0" collapsed="false">
      <c r="A39" s="6" t="n">
        <v>38</v>
      </c>
      <c r="B39" s="6" t="s">
        <v>116</v>
      </c>
      <c r="C39" s="7" t="s">
        <v>23</v>
      </c>
      <c r="D39" s="6" t="s">
        <v>37</v>
      </c>
      <c r="E39" s="6" t="n">
        <v>8.2</v>
      </c>
      <c r="F39" s="6" t="s">
        <v>43</v>
      </c>
      <c r="G39" s="6" t="s">
        <v>33</v>
      </c>
      <c r="H39" s="6" t="s">
        <v>34</v>
      </c>
      <c r="I39" s="6" t="s">
        <v>55</v>
      </c>
      <c r="J39" s="8"/>
      <c r="K39" s="8"/>
      <c r="L39" s="8"/>
      <c r="M39" s="8"/>
    </row>
    <row r="40" customFormat="false" ht="15" hidden="false" customHeight="false" outlineLevel="0" collapsed="false">
      <c r="A40" s="6" t="n">
        <v>39</v>
      </c>
      <c r="B40" s="6" t="s">
        <v>117</v>
      </c>
      <c r="C40" s="7" t="s">
        <v>23</v>
      </c>
      <c r="D40" s="6" t="s">
        <v>57</v>
      </c>
      <c r="E40" s="6" t="n">
        <v>46</v>
      </c>
      <c r="F40" s="6" t="s">
        <v>38</v>
      </c>
      <c r="G40" s="6" t="s">
        <v>33</v>
      </c>
      <c r="H40" s="6" t="s">
        <v>39</v>
      </c>
      <c r="I40" s="6" t="s">
        <v>118</v>
      </c>
      <c r="J40" s="8"/>
      <c r="K40" s="8"/>
      <c r="L40" s="8"/>
      <c r="M40" s="8"/>
    </row>
    <row r="41" customFormat="false" ht="15" hidden="false" customHeight="false" outlineLevel="0" collapsed="false">
      <c r="A41" s="6" t="n">
        <v>40</v>
      </c>
      <c r="B41" s="6" t="s">
        <v>119</v>
      </c>
      <c r="C41" s="7" t="s">
        <v>23</v>
      </c>
      <c r="D41" s="6" t="s">
        <v>57</v>
      </c>
      <c r="E41" s="6" t="n">
        <v>6.9</v>
      </c>
      <c r="F41" s="6" t="s">
        <v>32</v>
      </c>
      <c r="G41" s="6" t="s">
        <v>33</v>
      </c>
      <c r="H41" s="6" t="s">
        <v>39</v>
      </c>
      <c r="I41" s="6" t="s">
        <v>120</v>
      </c>
      <c r="J41" s="8"/>
      <c r="K41" s="8"/>
      <c r="L41" s="8"/>
      <c r="M41" s="8"/>
    </row>
    <row r="42" customFormat="false" ht="46.25" hidden="false" customHeight="false" outlineLevel="0" collapsed="false">
      <c r="A42" s="6" t="n">
        <v>41</v>
      </c>
      <c r="B42" s="6" t="s">
        <v>121</v>
      </c>
      <c r="C42" s="7" t="s">
        <v>23</v>
      </c>
      <c r="D42" s="6" t="s">
        <v>31</v>
      </c>
      <c r="E42" s="6" t="n">
        <v>39.9</v>
      </c>
      <c r="F42" s="6" t="s">
        <v>32</v>
      </c>
      <c r="G42" s="6" t="s">
        <v>33</v>
      </c>
      <c r="H42" s="6" t="s">
        <v>34</v>
      </c>
      <c r="I42" s="6" t="s">
        <v>122</v>
      </c>
      <c r="J42" s="8"/>
      <c r="K42" s="8"/>
      <c r="L42" s="8"/>
      <c r="M42" s="8"/>
    </row>
    <row r="43" customFormat="false" ht="15" hidden="false" customHeight="false" outlineLevel="0" collapsed="false">
      <c r="A43" s="6" t="n">
        <v>42</v>
      </c>
      <c r="B43" s="6" t="s">
        <v>123</v>
      </c>
      <c r="C43" s="7" t="s">
        <v>23</v>
      </c>
      <c r="D43" s="6" t="s">
        <v>37</v>
      </c>
      <c r="E43" s="6" t="n">
        <v>29.8</v>
      </c>
      <c r="F43" s="6" t="s">
        <v>43</v>
      </c>
      <c r="G43" s="6" t="s">
        <v>33</v>
      </c>
      <c r="H43" s="6" t="s">
        <v>69</v>
      </c>
      <c r="I43" s="6" t="s">
        <v>124</v>
      </c>
      <c r="J43" s="8"/>
      <c r="K43" s="8"/>
      <c r="L43" s="8"/>
      <c r="M43" s="8"/>
    </row>
    <row r="44" customFormat="false" ht="15" hidden="false" customHeight="false" outlineLevel="0" collapsed="false">
      <c r="A44" s="6" t="n">
        <v>43</v>
      </c>
      <c r="B44" s="6" t="s">
        <v>125</v>
      </c>
      <c r="C44" s="7" t="s">
        <v>23</v>
      </c>
      <c r="D44" s="6" t="s">
        <v>37</v>
      </c>
      <c r="E44" s="6" t="n">
        <v>23.5</v>
      </c>
      <c r="F44" s="6" t="s">
        <v>65</v>
      </c>
      <c r="G44" s="6" t="s">
        <v>33</v>
      </c>
      <c r="H44" s="6" t="s">
        <v>126</v>
      </c>
      <c r="I44" s="6" t="s">
        <v>127</v>
      </c>
      <c r="J44" s="8"/>
      <c r="K44" s="8"/>
      <c r="L44" s="8"/>
      <c r="M44" s="8"/>
    </row>
    <row r="45" customFormat="false" ht="15" hidden="false" customHeight="false" outlineLevel="0" collapsed="false">
      <c r="A45" s="6" t="n">
        <v>44</v>
      </c>
      <c r="B45" s="6" t="s">
        <v>128</v>
      </c>
      <c r="C45" s="7" t="s">
        <v>23</v>
      </c>
      <c r="D45" s="6" t="s">
        <v>57</v>
      </c>
      <c r="E45" s="6" t="n">
        <v>56.9</v>
      </c>
      <c r="F45" s="6" t="s">
        <v>32</v>
      </c>
      <c r="G45" s="6" t="s">
        <v>33</v>
      </c>
      <c r="H45" s="6" t="s">
        <v>69</v>
      </c>
      <c r="I45" s="6"/>
      <c r="J45" s="8"/>
      <c r="K45" s="8"/>
      <c r="L45" s="8"/>
      <c r="M45" s="8"/>
    </row>
    <row r="46" customFormat="false" ht="15" hidden="false" customHeight="false" outlineLevel="0" collapsed="false">
      <c r="A46" s="6" t="n">
        <v>45</v>
      </c>
      <c r="B46" s="6" t="s">
        <v>129</v>
      </c>
      <c r="C46" s="7" t="s">
        <v>23</v>
      </c>
      <c r="D46" s="6" t="s">
        <v>37</v>
      </c>
      <c r="E46" s="6" t="n">
        <v>51.5</v>
      </c>
      <c r="F46" s="6" t="s">
        <v>32</v>
      </c>
      <c r="G46" s="6" t="s">
        <v>33</v>
      </c>
      <c r="H46" s="6" t="s">
        <v>39</v>
      </c>
      <c r="I46" s="6" t="s">
        <v>130</v>
      </c>
      <c r="J46" s="8"/>
      <c r="K46" s="8"/>
      <c r="L46" s="8"/>
      <c r="M46" s="8"/>
    </row>
    <row r="47" customFormat="false" ht="15" hidden="false" customHeight="false" outlineLevel="0" collapsed="false">
      <c r="A47" s="6" t="n">
        <v>46</v>
      </c>
      <c r="B47" s="6" t="s">
        <v>131</v>
      </c>
      <c r="C47" s="7" t="s">
        <v>23</v>
      </c>
      <c r="D47" s="6" t="s">
        <v>37</v>
      </c>
      <c r="E47" s="6" t="n">
        <v>8.3</v>
      </c>
      <c r="F47" s="6" t="s">
        <v>43</v>
      </c>
      <c r="G47" s="6" t="s">
        <v>33</v>
      </c>
      <c r="H47" s="6" t="s">
        <v>132</v>
      </c>
      <c r="I47" s="6" t="s">
        <v>55</v>
      </c>
      <c r="J47" s="8"/>
      <c r="K47" s="8"/>
      <c r="L47" s="8"/>
      <c r="M47" s="8"/>
    </row>
    <row r="48" customFormat="false" ht="35.05" hidden="false" customHeight="false" outlineLevel="0" collapsed="false">
      <c r="A48" s="6" t="n">
        <v>47</v>
      </c>
      <c r="B48" s="6" t="s">
        <v>133</v>
      </c>
      <c r="C48" s="7" t="s">
        <v>23</v>
      </c>
      <c r="D48" s="6" t="s">
        <v>134</v>
      </c>
      <c r="E48" s="6" t="n">
        <v>178.9</v>
      </c>
      <c r="F48" s="6" t="s">
        <v>43</v>
      </c>
      <c r="G48" s="6" t="s">
        <v>33</v>
      </c>
      <c r="H48" s="6" t="s">
        <v>39</v>
      </c>
      <c r="I48" s="6" t="s">
        <v>135</v>
      </c>
      <c r="J48" s="8"/>
      <c r="K48" s="8"/>
      <c r="L48" s="8"/>
      <c r="M48" s="8"/>
    </row>
    <row r="49" customFormat="false" ht="15" hidden="false" customHeight="false" outlineLevel="0" collapsed="false">
      <c r="A49" s="6" t="n">
        <v>48</v>
      </c>
      <c r="B49" s="6" t="s">
        <v>136</v>
      </c>
      <c r="C49" s="7" t="s">
        <v>23</v>
      </c>
      <c r="D49" s="6" t="s">
        <v>37</v>
      </c>
      <c r="E49" s="6" t="n">
        <v>9.1</v>
      </c>
      <c r="F49" s="6" t="s">
        <v>32</v>
      </c>
      <c r="G49" s="6" t="s">
        <v>33</v>
      </c>
      <c r="H49" s="6" t="s">
        <v>39</v>
      </c>
      <c r="I49" s="6" t="s">
        <v>55</v>
      </c>
      <c r="J49" s="8"/>
      <c r="K49" s="8"/>
      <c r="L49" s="8"/>
      <c r="M49" s="8"/>
    </row>
    <row r="50" customFormat="false" ht="15" hidden="false" customHeight="false" outlineLevel="0" collapsed="false">
      <c r="A50" s="6" t="n">
        <v>49</v>
      </c>
      <c r="B50" s="6" t="s">
        <v>137</v>
      </c>
      <c r="C50" s="7" t="s">
        <v>23</v>
      </c>
      <c r="D50" s="6" t="s">
        <v>37</v>
      </c>
      <c r="E50" s="6" t="n">
        <v>26.1</v>
      </c>
      <c r="F50" s="6" t="s">
        <v>43</v>
      </c>
      <c r="G50" s="6" t="s">
        <v>33</v>
      </c>
      <c r="H50" s="6" t="s">
        <v>39</v>
      </c>
      <c r="I50" s="6" t="s">
        <v>55</v>
      </c>
      <c r="J50" s="8"/>
      <c r="K50" s="8"/>
      <c r="L50" s="8"/>
      <c r="M50" s="8"/>
    </row>
    <row r="51" customFormat="false" ht="15" hidden="false" customHeight="false" outlineLevel="0" collapsed="false">
      <c r="A51" s="6" t="n">
        <v>50</v>
      </c>
      <c r="B51" s="6" t="s">
        <v>138</v>
      </c>
      <c r="C51" s="7" t="s">
        <v>23</v>
      </c>
      <c r="D51" s="6" t="s">
        <v>37</v>
      </c>
      <c r="E51" s="6" t="n">
        <v>9.1</v>
      </c>
      <c r="F51" s="6" t="s">
        <v>32</v>
      </c>
      <c r="G51" s="6" t="s">
        <v>33</v>
      </c>
      <c r="H51" s="6" t="s">
        <v>39</v>
      </c>
      <c r="I51" s="6" t="s">
        <v>55</v>
      </c>
      <c r="J51" s="8"/>
      <c r="K51" s="8"/>
      <c r="L51" s="8"/>
      <c r="M51" s="8"/>
    </row>
    <row r="52" customFormat="false" ht="23.85" hidden="false" customHeight="false" outlineLevel="0" collapsed="false">
      <c r="A52" s="6" t="n">
        <v>51</v>
      </c>
      <c r="B52" s="6" t="s">
        <v>139</v>
      </c>
      <c r="C52" s="7" t="s">
        <v>23</v>
      </c>
      <c r="D52" s="6" t="s">
        <v>37</v>
      </c>
      <c r="E52" s="6" t="n">
        <v>10.1</v>
      </c>
      <c r="F52" s="6" t="s">
        <v>71</v>
      </c>
      <c r="G52" s="6" t="s">
        <v>33</v>
      </c>
      <c r="H52" s="6" t="s">
        <v>59</v>
      </c>
      <c r="I52" s="6" t="s">
        <v>55</v>
      </c>
      <c r="J52" s="8"/>
      <c r="K52" s="8"/>
      <c r="L52" s="8"/>
      <c r="M52" s="8"/>
    </row>
    <row r="53" customFormat="false" ht="23.85" hidden="false" customHeight="false" outlineLevel="0" collapsed="false">
      <c r="A53" s="6" t="n">
        <v>52</v>
      </c>
      <c r="B53" s="6" t="s">
        <v>140</v>
      </c>
      <c r="C53" s="7" t="s">
        <v>23</v>
      </c>
      <c r="D53" s="6" t="s">
        <v>37</v>
      </c>
      <c r="E53" s="6" t="n">
        <v>38</v>
      </c>
      <c r="F53" s="6" t="s">
        <v>43</v>
      </c>
      <c r="G53" s="6" t="s">
        <v>33</v>
      </c>
      <c r="H53" s="6" t="s">
        <v>141</v>
      </c>
      <c r="I53" s="6" t="s">
        <v>142</v>
      </c>
      <c r="J53" s="8"/>
      <c r="K53" s="8"/>
      <c r="L53" s="8"/>
      <c r="M53" s="8"/>
    </row>
    <row r="54" customFormat="false" ht="23.85" hidden="false" customHeight="false" outlineLevel="0" collapsed="false">
      <c r="A54" s="6" t="n">
        <v>53</v>
      </c>
      <c r="B54" s="6" t="s">
        <v>143</v>
      </c>
      <c r="C54" s="7" t="s">
        <v>23</v>
      </c>
      <c r="D54" s="6" t="s">
        <v>37</v>
      </c>
      <c r="E54" s="6" t="n">
        <v>87.9</v>
      </c>
      <c r="F54" s="6" t="s">
        <v>144</v>
      </c>
      <c r="G54" s="6" t="s">
        <v>33</v>
      </c>
      <c r="H54" s="6" t="s">
        <v>145</v>
      </c>
      <c r="I54" s="6" t="s">
        <v>146</v>
      </c>
      <c r="J54" s="8"/>
      <c r="K54" s="8"/>
      <c r="L54" s="8"/>
      <c r="M54" s="8"/>
    </row>
    <row r="55" customFormat="false" ht="15" hidden="false" customHeight="false" outlineLevel="0" collapsed="false">
      <c r="A55" s="6" t="n">
        <v>54</v>
      </c>
      <c r="B55" s="6" t="s">
        <v>147</v>
      </c>
      <c r="C55" s="7" t="s">
        <v>23</v>
      </c>
      <c r="D55" s="6" t="s">
        <v>62</v>
      </c>
      <c r="E55" s="6" t="n">
        <v>21.2</v>
      </c>
      <c r="F55" s="6" t="s">
        <v>38</v>
      </c>
      <c r="G55" s="6" t="s">
        <v>33</v>
      </c>
      <c r="H55" s="6" t="s">
        <v>34</v>
      </c>
      <c r="I55" s="6" t="s">
        <v>55</v>
      </c>
      <c r="J55" s="8"/>
      <c r="K55" s="8"/>
      <c r="L55" s="8"/>
      <c r="M55" s="8"/>
    </row>
    <row r="56" customFormat="false" ht="15" hidden="false" customHeight="false" outlineLevel="0" collapsed="false">
      <c r="A56" s="6" t="n">
        <v>55</v>
      </c>
      <c r="B56" s="6" t="s">
        <v>148</v>
      </c>
      <c r="C56" s="7" t="s">
        <v>23</v>
      </c>
      <c r="D56" s="6" t="s">
        <v>37</v>
      </c>
      <c r="E56" s="6" t="n">
        <v>49</v>
      </c>
      <c r="F56" s="6" t="s">
        <v>32</v>
      </c>
      <c r="G56" s="6" t="s">
        <v>33</v>
      </c>
      <c r="H56" s="6" t="s">
        <v>39</v>
      </c>
      <c r="I56" s="6" t="s">
        <v>149</v>
      </c>
      <c r="J56" s="8"/>
      <c r="K56" s="8"/>
      <c r="L56" s="8"/>
      <c r="M56" s="8"/>
    </row>
    <row r="57" customFormat="false" ht="15" hidden="false" customHeight="false" outlineLevel="0" collapsed="false">
      <c r="A57" s="6" t="n">
        <v>56</v>
      </c>
      <c r="B57" s="6" t="s">
        <v>150</v>
      </c>
      <c r="C57" s="7" t="s">
        <v>23</v>
      </c>
      <c r="D57" s="6" t="s">
        <v>37</v>
      </c>
      <c r="E57" s="6" t="n">
        <v>18.8</v>
      </c>
      <c r="F57" s="6" t="s">
        <v>50</v>
      </c>
      <c r="G57" s="6" t="s">
        <v>33</v>
      </c>
      <c r="H57" s="6" t="s">
        <v>151</v>
      </c>
      <c r="I57" s="6" t="s">
        <v>152</v>
      </c>
      <c r="J57" s="8"/>
      <c r="K57" s="8"/>
      <c r="L57" s="8"/>
      <c r="M57" s="8"/>
    </row>
    <row r="58" customFormat="false" ht="15" hidden="false" customHeight="false" outlineLevel="0" collapsed="false">
      <c r="A58" s="6" t="n">
        <v>57</v>
      </c>
      <c r="B58" s="6" t="s">
        <v>153</v>
      </c>
      <c r="C58" s="7" t="s">
        <v>23</v>
      </c>
      <c r="D58" s="6" t="s">
        <v>37</v>
      </c>
      <c r="E58" s="6" t="n">
        <v>22.6</v>
      </c>
      <c r="F58" s="6" t="s">
        <v>38</v>
      </c>
      <c r="G58" s="6" t="s">
        <v>33</v>
      </c>
      <c r="H58" s="6" t="s">
        <v>39</v>
      </c>
      <c r="I58" s="6" t="s">
        <v>154</v>
      </c>
      <c r="J58" s="8"/>
      <c r="K58" s="8"/>
      <c r="L58" s="8"/>
      <c r="M58" s="8"/>
    </row>
    <row r="59" customFormat="false" ht="15" hidden="false" customHeight="false" outlineLevel="0" collapsed="false">
      <c r="A59" s="6" t="n">
        <v>58</v>
      </c>
      <c r="B59" s="6" t="s">
        <v>155</v>
      </c>
      <c r="C59" s="7" t="s">
        <v>23</v>
      </c>
      <c r="D59" s="6" t="s">
        <v>62</v>
      </c>
      <c r="E59" s="6" t="n">
        <v>63.2</v>
      </c>
      <c r="F59" s="6" t="s">
        <v>32</v>
      </c>
      <c r="G59" s="6" t="s">
        <v>33</v>
      </c>
      <c r="H59" s="6" t="s">
        <v>34</v>
      </c>
      <c r="I59" s="6" t="s">
        <v>55</v>
      </c>
      <c r="J59" s="8"/>
      <c r="K59" s="8"/>
      <c r="L59" s="8"/>
      <c r="M59" s="8"/>
    </row>
    <row r="60" customFormat="false" ht="15" hidden="false" customHeight="false" outlineLevel="0" collapsed="false">
      <c r="A60" s="6" t="n">
        <v>59</v>
      </c>
      <c r="B60" s="6" t="s">
        <v>156</v>
      </c>
      <c r="C60" s="7" t="s">
        <v>23</v>
      </c>
      <c r="D60" s="6" t="s">
        <v>37</v>
      </c>
      <c r="E60" s="6" t="n">
        <v>49.9</v>
      </c>
      <c r="F60" s="6" t="s">
        <v>32</v>
      </c>
      <c r="G60" s="6" t="s">
        <v>33</v>
      </c>
      <c r="H60" s="6" t="s">
        <v>54</v>
      </c>
      <c r="I60" s="6" t="s">
        <v>55</v>
      </c>
      <c r="J60" s="8"/>
      <c r="K60" s="8"/>
      <c r="L60" s="8"/>
      <c r="M60" s="8"/>
    </row>
    <row r="61" customFormat="false" ht="23.85" hidden="false" customHeight="false" outlineLevel="0" collapsed="false">
      <c r="A61" s="6" t="n">
        <v>60</v>
      </c>
      <c r="B61" s="6" t="s">
        <v>157</v>
      </c>
      <c r="C61" s="7" t="s">
        <v>23</v>
      </c>
      <c r="D61" s="6" t="s">
        <v>37</v>
      </c>
      <c r="E61" s="6" t="n">
        <v>14.2</v>
      </c>
      <c r="F61" s="6" t="s">
        <v>32</v>
      </c>
      <c r="G61" s="6" t="s">
        <v>33</v>
      </c>
      <c r="H61" s="6" t="s">
        <v>158</v>
      </c>
      <c r="I61" s="6" t="s">
        <v>55</v>
      </c>
      <c r="J61" s="8"/>
      <c r="K61" s="8"/>
      <c r="L61" s="8"/>
      <c r="M61" s="8"/>
    </row>
  </sheetData>
  <dataValidations count="3">
    <dataValidation allowBlank="true" error="Pick a value from the list." errorStyle="stop" errorTitle="Not in the list" operator="between" showDropDown="false" showErrorMessage="false" showInputMessage="false" sqref="J2:J61" type="list">
      <formula1>"pilot,drone,can't tell"</formula1>
      <formula2>0</formula2>
    </dataValidation>
    <dataValidation allowBlank="true" error="Pick a value from the list." errorStyle="stop" errorTitle="Not in the list" operator="between" showDropDown="false" showErrorMessage="false" showInputMessage="false" sqref="K2:K61" type="list">
      <formula1>"pilot input / handling,wrong mode or mode switch,battery / power,motor / ESC / propeller,vibration / mounting,GPS / compass / estimator,radio or data link,tuning / configuration,software / firmware,airframe / mechanical,wind / environment,not enough data"</formula1>
      <formula2>0</formula2>
    </dataValidation>
    <dataValidation allowBlank="true" error="Pick a value from the list." errorStyle="stop" errorTitle="Not in the list" operator="between" showDropDown="false" showErrorMessage="false" showInputMessage="false" sqref="L2:L61" type="list">
      <formula1>"high,medium,low"</formula1>
      <formula2>0</formula2>
    </dataValidation>
  </dataValidations>
  <hyperlinks>
    <hyperlink ref="C2" r:id="rId2" display="Open plots"/>
    <hyperlink ref="C3" r:id="rId3" display="Open plots"/>
    <hyperlink ref="C4" r:id="rId4" display="Open plots"/>
    <hyperlink ref="C5" r:id="rId5" display="Open plots"/>
    <hyperlink ref="C6" r:id="rId6" display="Open plots"/>
    <hyperlink ref="C7" r:id="rId7" display="Open plots"/>
    <hyperlink ref="C8" r:id="rId8" display="Open plots"/>
    <hyperlink ref="C9" r:id="rId9" display="Open plots"/>
    <hyperlink ref="C10" r:id="rId10" display="Open plots"/>
    <hyperlink ref="C11" r:id="rId11" display="Open plots"/>
    <hyperlink ref="C12" r:id="rId12" display="Open plots"/>
    <hyperlink ref="C13" r:id="rId13" display="Open plots"/>
    <hyperlink ref="C14" r:id="rId14" display="Open plots"/>
    <hyperlink ref="C15" r:id="rId15" display="Open plots"/>
    <hyperlink ref="C16" r:id="rId16" display="Open plots"/>
    <hyperlink ref="C17" r:id="rId17" display="Open plots"/>
    <hyperlink ref="C18" r:id="rId18" display="Open plots"/>
    <hyperlink ref="C19" r:id="rId19" display="Open plots"/>
    <hyperlink ref="C20" r:id="rId20" display="Open plots"/>
    <hyperlink ref="C21" r:id="rId21" display="Open plots"/>
    <hyperlink ref="C22" r:id="rId22" display="Open plots"/>
    <hyperlink ref="C23" r:id="rId23" display="Open plots"/>
    <hyperlink ref="C24" r:id="rId24" display="Open plots"/>
    <hyperlink ref="C25" r:id="rId25" display="Open plots"/>
    <hyperlink ref="C26" r:id="rId26" display="Open plots"/>
    <hyperlink ref="C27" r:id="rId27" display="Open plots"/>
    <hyperlink ref="C28" r:id="rId28" display="Open plots"/>
    <hyperlink ref="C29" r:id="rId29" display="Open plots"/>
    <hyperlink ref="C30" r:id="rId30" display="Open plots"/>
    <hyperlink ref="C31" r:id="rId31" display="Open plots"/>
    <hyperlink ref="C32" r:id="rId32" display="Open plots"/>
    <hyperlink ref="C33" r:id="rId33" display="Open plots"/>
    <hyperlink ref="C34" r:id="rId34" display="Open plots"/>
    <hyperlink ref="C35" r:id="rId35" display="Open plots"/>
    <hyperlink ref="C36" r:id="rId36" display="Open plots"/>
    <hyperlink ref="C37" r:id="rId37" display="Open plots"/>
    <hyperlink ref="C38" r:id="rId38" display="Open plots"/>
    <hyperlink ref="C39" r:id="rId39" display="Open plots"/>
    <hyperlink ref="C40" r:id="rId40" display="Open plots"/>
    <hyperlink ref="C41" r:id="rId41" display="Open plots"/>
    <hyperlink ref="C42" r:id="rId42" display="Open plots"/>
    <hyperlink ref="C43" r:id="rId43" display="Open plots"/>
    <hyperlink ref="C44" r:id="rId44" display="Open plots"/>
    <hyperlink ref="C45" r:id="rId45" display="Open plots"/>
    <hyperlink ref="C46" r:id="rId46" display="Open plots"/>
    <hyperlink ref="C47" r:id="rId47" display="Open plots"/>
    <hyperlink ref="C48" r:id="rId48" display="Open plots"/>
    <hyperlink ref="C49" r:id="rId49" display="Open plots"/>
    <hyperlink ref="C50" r:id="rId50" display="Open plots"/>
    <hyperlink ref="C51" r:id="rId51" display="Open plots"/>
    <hyperlink ref="C52" r:id="rId52" display="Open plots"/>
    <hyperlink ref="C53" r:id="rId53" display="Open plots"/>
    <hyperlink ref="C54" r:id="rId54" display="Open plots"/>
    <hyperlink ref="C55" r:id="rId55" display="Open plots"/>
    <hyperlink ref="C56" r:id="rId56" display="Open plots"/>
    <hyperlink ref="C57" r:id="rId57" display="Open plots"/>
    <hyperlink ref="C58" r:id="rId58" display="Open plots"/>
    <hyperlink ref="C59" r:id="rId59" display="Open plots"/>
    <hyperlink ref="C60" r:id="rId60" display="Open plots"/>
    <hyperlink ref="C61" r:id="rId61" display="Open plo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2"/>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2026-10-20T12:13:19Z</dcterms:created>
  <dc:creator>openpyxl</dc:creator>
  <dc:description/>
  <dc:language>en-IN</dc:language>
  <cp:lastModifiedBy/>
  <dcterms:modified xsi:type="dcterms:W3CDTF">2026-10-20T12:13:19Z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